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86"/>
  <sheetViews>
    <sheetView workbookViewId="0">
      <pane ySplit="1" topLeftCell="A2" activePane="bottomLeft" state="frozen"/>
      <selection pane="bottomLeft" activeCell="A1" sqref="A1"/>
    </sheetView>
  </sheetViews>
  <sheetFormatPr baseColWidth="8" defaultRowHeight="15"/>
  <cols>
    <col width="12" customWidth="1" min="26" max="26"/>
    <col width="15" customWidth="1" min="27" max="27"/>
    <col width="12" customWidth="1" min="28" max="28"/>
    <col width="15" customWidth="1" min="29" max="29"/>
  </cols>
  <sheetData>
    <row r="1">
      <c r="A1" s="1" t="inlineStr">
        <is>
          <t>id</t>
        </is>
      </c>
      <c r="B1" s="1" t="inlineStr">
        <is>
          <t>price</t>
        </is>
      </c>
      <c r="C1" s="1" t="inlineStr">
        <is>
          <t>price_display</t>
        </is>
      </c>
      <c r="D1" s="1" t="inlineStr">
        <is>
          <t>frequency</t>
        </is>
      </c>
      <c r="E1" s="1" t="inlineStr">
        <is>
          <t>property_type</t>
        </is>
      </c>
      <c r="F1" s="1" t="inlineStr">
        <is>
          <t>bedrooms</t>
        </is>
      </c>
      <c r="G1" s="1" t="inlineStr">
        <is>
          <t>bathrooms</t>
        </is>
      </c>
      <c r="H1" s="1" t="inlineStr">
        <is>
          <t>address</t>
        </is>
      </c>
      <c r="I1" s="1" t="inlineStr">
        <is>
          <t>summary</t>
        </is>
      </c>
      <c r="J1" s="1" t="inlineStr">
        <is>
          <t>property_url</t>
        </is>
      </c>
      <c r="K1" s="1" t="inlineStr">
        <is>
          <t>contact_url</t>
        </is>
      </c>
      <c r="L1" s="1" t="inlineStr">
        <is>
          <t>branch</t>
        </is>
      </c>
      <c r="M1" s="1" t="inlineStr">
        <is>
          <t>branch_id</t>
        </is>
      </c>
      <c r="N1" s="1" t="inlineStr">
        <is>
          <t>added_or_reduced</t>
        </is>
      </c>
      <c r="O1" s="1" t="inlineStr">
        <is>
          <t>first_visible_date</t>
        </is>
      </c>
      <c r="P1" s="1" t="inlineStr">
        <is>
          <t>let_type</t>
        </is>
      </c>
      <c r="Q1" s="1" t="inlineStr">
        <is>
          <t>postcode</t>
        </is>
      </c>
      <c r="R1" s="1" t="inlineStr">
        <is>
          <t>search_date</t>
        </is>
      </c>
      <c r="S1" s="1" t="inlineStr">
        <is>
          <t>letting_details</t>
        </is>
      </c>
      <c r="T1" s="1" t="inlineStr">
        <is>
          <t>property_size_sqft</t>
        </is>
      </c>
      <c r="U1" s="1" t="inlineStr">
        <is>
          <t>property_size_sqm</t>
        </is>
      </c>
      <c r="V1" s="1" t="inlineStr">
        <is>
          <t>scraping_success</t>
        </is>
      </c>
      <c r="W1" s="1" t="inlineStr">
        <is>
          <t>scraping_error</t>
        </is>
      </c>
      <c r="X1" s="1" t="inlineStr">
        <is>
          <t>distance_to_chinatown_km</t>
        </is>
      </c>
      <c r="Y1" s="1" t="inlineStr">
        <is>
          <t>drive_time_to_chinatown_minutes</t>
        </is>
      </c>
      <c r="Z1" s="2" t="inlineStr">
        <is>
          <t>price_score</t>
        </is>
      </c>
      <c r="AA1" s="2" t="inlineStr">
        <is>
          <t>distance_score</t>
        </is>
      </c>
      <c r="AB1" s="2" t="inlineStr">
        <is>
          <t>size_score</t>
        </is>
      </c>
      <c r="AC1" s="2" t="inlineStr">
        <is>
          <t>combined_score</t>
        </is>
      </c>
    </row>
    <row r="2">
      <c r="A2" t="n">
        <v>168155333</v>
      </c>
      <c r="B2" t="n">
        <v>1650</v>
      </c>
      <c r="C2" t="inlineStr">
        <is>
          <t>£1,650 pcm</t>
        </is>
      </c>
      <c r="D2" t="inlineStr">
        <is>
          <t>monthly</t>
        </is>
      </c>
      <c r="E2" t="inlineStr">
        <is>
          <t>Apartment</t>
        </is>
      </c>
      <c r="F2" t="n">
        <v>2</v>
      </c>
      <c r="G2" t="n">
        <v>2</v>
      </c>
      <c r="H2" t="inlineStr">
        <is>
          <t>Wandle Road, Beddington</t>
        </is>
      </c>
      <c r="I2" t="inlineStr">
        <is>
          <t>Oaks Estate Agents are excited to present to the market this stunning two-bedroom, two-bathroom, converted mill loft apartment situated in the heart of Beddington, close to Beddington Park.</t>
        </is>
      </c>
      <c r="J2" t="inlineStr">
        <is>
          <t>https://www.rightmove.co.uk/properties/168155333#/?channel=RES_LET</t>
        </is>
      </c>
      <c r="K2" t="inlineStr">
        <is>
          <t>/property-to-rent/contactBranch.html?propertyId=168155333</t>
        </is>
      </c>
      <c r="L2" t="inlineStr">
        <is>
          <t>Oaks Estate Agents, Croydon- Lettings</t>
        </is>
      </c>
      <c r="M2" t="n">
        <v>235208</v>
      </c>
      <c r="N2" t="inlineStr">
        <is>
          <t>Added on 13/10/2025</t>
        </is>
      </c>
      <c r="O2" t="inlineStr">
        <is>
          <t>2025-10-13T13:41:56Z</t>
        </is>
      </c>
      <c r="R2" t="inlineStr">
        <is>
          <t>2025-10-16T17:42:11.118235</t>
        </is>
      </c>
      <c r="S2" t="inlineStr">
        <is>
          <t>{'let available date': '25/10/2025', 'deposit': '£1,903', 'min. tenancy': 'Ask agent', 'let type': 'Long term', 'furnish type': 'Unfurnished', 'council tax': 'Ask agent'}</t>
        </is>
      </c>
      <c r="V2" t="b">
        <v>1</v>
      </c>
      <c r="X2" t="n">
        <v>19.54</v>
      </c>
      <c r="Y2" t="n">
        <v>62</v>
      </c>
      <c r="Z2">
        <f>IF(AND(ISNUMBER(B2), ISNUMBER(MIN(B$2:B$486)), ISNUMBER(MAX(B$2:B$486))), IF(MAX(B$2:B$486)=MIN(B$2:B$486), 50, ROUND((MAX(B$2:B$486)-B2)/(MAX(B$2:B$486)-MIN(B$2:B$486))*100, 2)), "")</f>
        <v/>
      </c>
      <c r="AA2">
        <f>IF(AND(ISNUMBER(X2), ISNUMBER(MIN(X$2:X$486)), ISNUMBER(MAX(X$2:X$486))), IF(MAX(X$2:X$486)=MIN(X$2:X$486), 50, ROUND((MAX(X$2:X$486)-X2)/(MAX(X$2:X$486)-MIN(X$2:X$486))*100, 2)), "")</f>
        <v/>
      </c>
      <c r="AB2">
        <f>IF(AND(ISNUMBER(U2), ISNUMBER(MIN(U$2:U$486)), ISNUMBER(MAX(U$2:U$486))), IF(MAX(U$2:U$486)=MIN(U$2:U$486), 50, ROUND((U2-MIN(U$2:U$486))/(MAX(U$2:U$486)-MIN(U$2:U$486))*100, 2)), "")</f>
        <v/>
      </c>
      <c r="AC2">
        <f>IF(AND(ISNUMBER(Z2), ISNUMBER(AA2), ISNUMBER(AB2)), ROUND((Z2+AA2+AB2)/3, 2), "")</f>
        <v/>
      </c>
    </row>
    <row r="3">
      <c r="A3" t="n">
        <v>168273833</v>
      </c>
      <c r="B3" t="n">
        <v>1700</v>
      </c>
      <c r="C3" t="inlineStr">
        <is>
          <t>£1,700 pcm</t>
        </is>
      </c>
      <c r="D3" t="inlineStr">
        <is>
          <t>monthly</t>
        </is>
      </c>
      <c r="E3" t="inlineStr">
        <is>
          <t>Flat</t>
        </is>
      </c>
      <c r="F3" t="n">
        <v>2</v>
      </c>
      <c r="G3" t="n">
        <v>1</v>
      </c>
      <c r="H3" t="inlineStr">
        <is>
          <t>338, London</t>
        </is>
      </c>
      <c r="I3" t="inlineStr">
        <is>
          <t>A two double bedroom conversion flat in the heart of Brixton</t>
        </is>
      </c>
      <c r="J3" t="inlineStr">
        <is>
          <t>https://www.rightmove.co.uk/properties/168273833#/?channel=RES_LET</t>
        </is>
      </c>
      <c r="K3" t="inlineStr">
        <is>
          <t>/property-to-rent/contactBranch.html?propertyId=168273833</t>
        </is>
      </c>
      <c r="L3" t="inlineStr">
        <is>
          <t>Prospect London, London</t>
        </is>
      </c>
      <c r="M3" t="n">
        <v>197495</v>
      </c>
      <c r="N3" t="inlineStr">
        <is>
          <t>Added today</t>
        </is>
      </c>
      <c r="O3" t="inlineStr">
        <is>
          <t>2025-10-16T17:06:33Z</t>
        </is>
      </c>
      <c r="R3" t="inlineStr">
        <is>
          <t>2025-10-16T17:42:11.118393</t>
        </is>
      </c>
      <c r="S3" t="inlineStr">
        <is>
          <t>{'let available date': '03/11/2025', 'deposit': '£1,700', 'min. tenancy': 'Ask agent', 'let type': 'Long term', 'furnish type': 'Unfurnished', 'council tax': 'Ask agent'}</t>
        </is>
      </c>
      <c r="V3" t="b">
        <v>1</v>
      </c>
      <c r="X3" t="n">
        <v>5.89</v>
      </c>
      <c r="Y3" t="n">
        <v>28.8</v>
      </c>
      <c r="Z3">
        <f>IF(AND(ISNUMBER(B3), ISNUMBER(MIN(B$2:B$486)), ISNUMBER(MAX(B$2:B$486))), IF(MAX(B$2:B$486)=MIN(B$2:B$486), 50, ROUND((MAX(B$2:B$486)-B3)/(MAX(B$2:B$486)-MIN(B$2:B$486))*100, 2)), "")</f>
        <v/>
      </c>
      <c r="AA3">
        <f>IF(AND(ISNUMBER(X3), ISNUMBER(MIN(X$2:X$486)), ISNUMBER(MAX(X$2:X$486))), IF(MAX(X$2:X$486)=MIN(X$2:X$486), 50, ROUND((MAX(X$2:X$486)-X3)/(MAX(X$2:X$486)-MIN(X$2:X$486))*100, 2)), "")</f>
        <v/>
      </c>
      <c r="AB3">
        <f>IF(AND(ISNUMBER(U3), ISNUMBER(MIN(U$2:U$486)), ISNUMBER(MAX(U$2:U$486))), IF(MAX(U$2:U$486)=MIN(U$2:U$486), 50, ROUND((U3-MIN(U$2:U$486))/(MAX(U$2:U$486)-MIN(U$2:U$486))*100, 2)), "")</f>
        <v/>
      </c>
      <c r="AC3">
        <f>IF(AND(ISNUMBER(Z3), ISNUMBER(AA3), ISNUMBER(AB3)), ROUND((Z3+AA3+AB3)/3, 2), "")</f>
        <v/>
      </c>
    </row>
    <row r="4">
      <c r="A4" t="n">
        <v>168272657</v>
      </c>
      <c r="B4" t="n">
        <v>1400</v>
      </c>
      <c r="C4" t="inlineStr">
        <is>
          <t>£1,400 pcm</t>
        </is>
      </c>
      <c r="D4" t="inlineStr">
        <is>
          <t>monthly</t>
        </is>
      </c>
      <c r="E4" t="inlineStr">
        <is>
          <t>Flat</t>
        </is>
      </c>
      <c r="F4" t="n">
        <v>2</v>
      </c>
      <c r="G4" t="n">
        <v>1</v>
      </c>
      <c r="H4" t="inlineStr">
        <is>
          <t>Carr Road, Lloyd Park, Walthamstow E17</t>
        </is>
      </c>
      <c r="I4" t="inlineStr">
        <is>
          <t>** Zero Deposit Guarantee Available **
**PLEASE NOTE: minor repairs required, can be rented 'as is' for £1400pcm or increased to £1800pcm if Landlord carries out the works**. Two double bedroom ground floor Warner flat with garden on the Lloyd Park Estate. Available now on an unfurnished basis.</t>
        </is>
      </c>
      <c r="J4" t="inlineStr">
        <is>
          <t>https://www.rightmove.co.uk/properties/168272657#/?channel=RES_LET</t>
        </is>
      </c>
      <c r="K4" t="inlineStr">
        <is>
          <t>/property-to-rent/contactBranch.html?propertyId=168272657</t>
        </is>
      </c>
      <c r="L4" t="inlineStr">
        <is>
          <t>Bairstow Eves Lettings, Walthamstow</t>
        </is>
      </c>
      <c r="M4" t="n">
        <v>30467</v>
      </c>
      <c r="N4" t="inlineStr">
        <is>
          <t>Added today</t>
        </is>
      </c>
      <c r="O4" t="inlineStr">
        <is>
          <t>2025-10-16T16:52:57Z</t>
        </is>
      </c>
      <c r="Q4" t="inlineStr">
        <is>
          <t>E17</t>
        </is>
      </c>
      <c r="R4" t="inlineStr">
        <is>
          <t>2025-10-16T17:42:11.118401</t>
        </is>
      </c>
      <c r="S4" t="inlineStr">
        <is>
          <t>{'let available date': 'Now', 'deposit': '£1,615', 'min. tenancy': 'Ask agent', 'let type': 'Long term', 'furnish type': 'Unfurnished', 'council tax': 'Ask agent'}</t>
        </is>
      </c>
      <c r="V4" t="b">
        <v>1</v>
      </c>
      <c r="X4" t="n">
        <v>14.24</v>
      </c>
      <c r="Y4" t="n">
        <v>55.8</v>
      </c>
      <c r="Z4">
        <f>IF(AND(ISNUMBER(B4), ISNUMBER(MIN(B$2:B$486)), ISNUMBER(MAX(B$2:B$486))), IF(MAX(B$2:B$486)=MIN(B$2:B$486), 50, ROUND((MAX(B$2:B$486)-B4)/(MAX(B$2:B$486)-MIN(B$2:B$486))*100, 2)), "")</f>
        <v/>
      </c>
      <c r="AA4">
        <f>IF(AND(ISNUMBER(X4), ISNUMBER(MIN(X$2:X$486)), ISNUMBER(MAX(X$2:X$486))), IF(MAX(X$2:X$486)=MIN(X$2:X$486), 50, ROUND((MAX(X$2:X$486)-X4)/(MAX(X$2:X$486)-MIN(X$2:X$486))*100, 2)), "")</f>
        <v/>
      </c>
      <c r="AB4">
        <f>IF(AND(ISNUMBER(U4), ISNUMBER(MIN(U$2:U$486)), ISNUMBER(MAX(U$2:U$486))), IF(MAX(U$2:U$486)=MIN(U$2:U$486), 50, ROUND((U4-MIN(U$2:U$486))/(MAX(U$2:U$486)-MIN(U$2:U$486))*100, 2)), "")</f>
        <v/>
      </c>
      <c r="AC4">
        <f>IF(AND(ISNUMBER(Z4), ISNUMBER(AA4), ISNUMBER(AB4)), ROUND((Z4+AA4+AB4)/3, 2), "")</f>
        <v/>
      </c>
    </row>
    <row r="5">
      <c r="A5" t="n">
        <v>73874330</v>
      </c>
      <c r="B5" t="n">
        <v>1695</v>
      </c>
      <c r="C5" t="inlineStr">
        <is>
          <t>£1,695 pcm</t>
        </is>
      </c>
      <c r="D5" t="inlineStr">
        <is>
          <t>monthly</t>
        </is>
      </c>
      <c r="E5" t="inlineStr">
        <is>
          <t>Apartment</t>
        </is>
      </c>
      <c r="F5" t="n">
        <v>2</v>
      </c>
      <c r="G5" t="n">
        <v>1</v>
      </c>
      <c r="H5" t="inlineStr">
        <is>
          <t>Hendon Hall Court, Parson Street, Hendon, NW4</t>
        </is>
      </c>
      <c r="I5" t="inlineStr">
        <is>
          <t>Excellent condition large two double bedroom 2nd floor apartment, sought after gated p/b block, large reception with a private balcony, modern kitchen with all machines, fully double glazed, modern bathroom, lift, OFF STREET PARKING, close to numerous shopping &amp; transport amenities.</t>
        </is>
      </c>
      <c r="J5" t="inlineStr">
        <is>
          <t>https://www.rightmove.co.uk/properties/73874330#/?channel=RES_LET</t>
        </is>
      </c>
      <c r="K5" t="inlineStr">
        <is>
          <t>/property-to-rent/contactBranch.html?propertyId=73874330</t>
        </is>
      </c>
      <c r="L5" t="inlineStr">
        <is>
          <t>NH Properties, London</t>
        </is>
      </c>
      <c r="M5" t="n">
        <v>143456</v>
      </c>
      <c r="N5" t="inlineStr">
        <is>
          <t>Added today</t>
        </is>
      </c>
      <c r="O5" t="inlineStr">
        <is>
          <t>2018-06-15T16:30:50Z</t>
        </is>
      </c>
      <c r="Q5" t="inlineStr">
        <is>
          <t>NW4</t>
        </is>
      </c>
      <c r="R5" t="inlineStr">
        <is>
          <t>2025-10-16T17:42:11.118407</t>
        </is>
      </c>
      <c r="S5" t="inlineStr">
        <is>
          <t>{'let available date': '05/11/2025', 'deposit': '£1,955', 'min. tenancy': 'Ask agent', 'let type': 'Long term', 'furnish type': 'Part furnished', 'council tax': 'Ask agent'}</t>
        </is>
      </c>
      <c r="T5" t="n">
        <v>710</v>
      </c>
      <c r="U5" t="n">
        <v>66</v>
      </c>
      <c r="V5" t="b">
        <v>1</v>
      </c>
      <c r="X5" t="n">
        <v>14.2</v>
      </c>
      <c r="Y5" t="n">
        <v>43.7</v>
      </c>
      <c r="Z5">
        <f>IF(AND(ISNUMBER(B5), ISNUMBER(MIN(B$2:B$486)), ISNUMBER(MAX(B$2:B$486))), IF(MAX(B$2:B$486)=MIN(B$2:B$486), 50, ROUND((MAX(B$2:B$486)-B5)/(MAX(B$2:B$486)-MIN(B$2:B$486))*100, 2)), "")</f>
        <v/>
      </c>
      <c r="AA5">
        <f>IF(AND(ISNUMBER(X5), ISNUMBER(MIN(X$2:X$486)), ISNUMBER(MAX(X$2:X$486))), IF(MAX(X$2:X$486)=MIN(X$2:X$486), 50, ROUND((MAX(X$2:X$486)-X5)/(MAX(X$2:X$486)-MIN(X$2:X$486))*100, 2)), "")</f>
        <v/>
      </c>
      <c r="AB5">
        <f>IF(AND(ISNUMBER(U5), ISNUMBER(MIN(U$2:U$486)), ISNUMBER(MAX(U$2:U$486))), IF(MAX(U$2:U$486)=MIN(U$2:U$486), 50, ROUND((U5-MIN(U$2:U$486))/(MAX(U$2:U$486)-MIN(U$2:U$486))*100, 2)), "")</f>
        <v/>
      </c>
      <c r="AC5">
        <f>IF(AND(ISNUMBER(Z5), ISNUMBER(AA5), ISNUMBER(AB5)), ROUND((Z5+AA5+AB5)/3, 2), "")</f>
        <v/>
      </c>
    </row>
    <row r="6">
      <c r="A6" t="n">
        <v>168151730</v>
      </c>
      <c r="B6" t="n">
        <v>1750</v>
      </c>
      <c r="C6" t="inlineStr">
        <is>
          <t>£1,750 pcm</t>
        </is>
      </c>
      <c r="D6" t="inlineStr">
        <is>
          <t>monthly</t>
        </is>
      </c>
      <c r="E6" t="inlineStr">
        <is>
          <t>Maisonette</t>
        </is>
      </c>
      <c r="F6" t="n">
        <v>2</v>
      </c>
      <c r="G6" t="n">
        <v>1</v>
      </c>
      <c r="H6" t="inlineStr">
        <is>
          <t>Bakers End, London</t>
        </is>
      </c>
      <c r="I6" t="inlineStr">
        <is>
          <t>This brand newly refurbished 1st floor maisonette for rent in Raynes Park is a stunning property that is sure to impress. The maisonette features 2 bedrooms, including a double room and a single room, both equipped with fitted wardrobes for ample storage space.</t>
        </is>
      </c>
      <c r="J6" t="inlineStr">
        <is>
          <t>https://www.rightmove.co.uk/properties/168151730#/?channel=RES_LET</t>
        </is>
      </c>
      <c r="K6" t="inlineStr">
        <is>
          <t>/property-to-rent/contactBranch.html?propertyId=168151730</t>
        </is>
      </c>
      <c r="L6" t="inlineStr">
        <is>
          <t>Sharpes Estates Ltd, Colliers Wood</t>
        </is>
      </c>
      <c r="M6" t="n">
        <v>5353</v>
      </c>
      <c r="N6" t="inlineStr">
        <is>
          <t>Reduced today</t>
        </is>
      </c>
      <c r="O6" t="inlineStr">
        <is>
          <t>2025-10-13T12:44:03Z</t>
        </is>
      </c>
      <c r="R6" t="inlineStr">
        <is>
          <t>2025-10-16T17:42:11.118411</t>
        </is>
      </c>
      <c r="S6" t="inlineStr">
        <is>
          <t>{'let available date': 'Now', 'deposit': '£2,019', 'min. tenancy': 'Ask agent', 'let type': 'Long term', 'furnish type': 'Ask agent', 'council tax': 'Ask agent'}</t>
        </is>
      </c>
      <c r="T6" t="n">
        <v>484</v>
      </c>
      <c r="U6" t="n">
        <v>45</v>
      </c>
      <c r="V6" t="b">
        <v>1</v>
      </c>
      <c r="X6" t="n">
        <v>16.32</v>
      </c>
      <c r="Y6" t="n">
        <v>53.9</v>
      </c>
      <c r="Z6">
        <f>IF(AND(ISNUMBER(B6), ISNUMBER(MIN(B$2:B$486)), ISNUMBER(MAX(B$2:B$486))), IF(MAX(B$2:B$486)=MIN(B$2:B$486), 50, ROUND((MAX(B$2:B$486)-B6)/(MAX(B$2:B$486)-MIN(B$2:B$486))*100, 2)), "")</f>
        <v/>
      </c>
      <c r="AA6">
        <f>IF(AND(ISNUMBER(X6), ISNUMBER(MIN(X$2:X$486)), ISNUMBER(MAX(X$2:X$486))), IF(MAX(X$2:X$486)=MIN(X$2:X$486), 50, ROUND((MAX(X$2:X$486)-X6)/(MAX(X$2:X$486)-MIN(X$2:X$486))*100, 2)), "")</f>
        <v/>
      </c>
      <c r="AB6">
        <f>IF(AND(ISNUMBER(U6), ISNUMBER(MIN(U$2:U$486)), ISNUMBER(MAX(U$2:U$486))), IF(MAX(U$2:U$486)=MIN(U$2:U$486), 50, ROUND((U6-MIN(U$2:U$486))/(MAX(U$2:U$486)-MIN(U$2:U$486))*100, 2)), "")</f>
        <v/>
      </c>
      <c r="AC6">
        <f>IF(AND(ISNUMBER(Z6), ISNUMBER(AA6), ISNUMBER(AB6)), ROUND((Z6+AA6+AB6)/3, 2), "")</f>
        <v/>
      </c>
    </row>
    <row r="7">
      <c r="A7" t="n">
        <v>168267899</v>
      </c>
      <c r="B7" t="n">
        <v>1650</v>
      </c>
      <c r="C7" t="inlineStr">
        <is>
          <t>£1,650 pcm</t>
        </is>
      </c>
      <c r="D7" t="inlineStr">
        <is>
          <t>monthly</t>
        </is>
      </c>
      <c r="E7" t="inlineStr">
        <is>
          <t>Maisonette</t>
        </is>
      </c>
      <c r="F7" t="n">
        <v>2</v>
      </c>
      <c r="G7" t="n">
        <v>1</v>
      </c>
      <c r="H7" t="inlineStr">
        <is>
          <t>Westmead Road Sutton SM1</t>
        </is>
      </c>
      <c r="I7" t="inlineStr">
        <is>
          <t>Modern two bedroom maisonette located within easy reach of central Sutton .</t>
        </is>
      </c>
      <c r="J7" t="inlineStr">
        <is>
          <t>https://www.rightmove.co.uk/properties/168267899#/?channel=RES_LET</t>
        </is>
      </c>
      <c r="K7" t="inlineStr">
        <is>
          <t>/property-to-rent/contactBranch.html?propertyId=168267899</t>
        </is>
      </c>
      <c r="L7" t="inlineStr">
        <is>
          <t>Cubitt &amp; West Residential Lettings, Sutton</t>
        </is>
      </c>
      <c r="M7" t="n">
        <v>82928</v>
      </c>
      <c r="N7" t="inlineStr">
        <is>
          <t>Added today</t>
        </is>
      </c>
      <c r="O7" t="inlineStr">
        <is>
          <t>2025-10-16T16:03:38Z</t>
        </is>
      </c>
      <c r="Q7" t="inlineStr">
        <is>
          <t>SM1</t>
        </is>
      </c>
      <c r="R7" t="inlineStr">
        <is>
          <t>2025-10-16T17:42:11.118413</t>
        </is>
      </c>
      <c r="S7" t="inlineStr">
        <is>
          <t>{'let available date': '25/10/2025', 'deposit': '£1,904', 'min. tenancy': 'Ask agent', 'let type': 'Long term', 'furnish type': 'Unfurnished', 'council tax': 'Ask agent'}</t>
        </is>
      </c>
      <c r="V7" t="b">
        <v>1</v>
      </c>
      <c r="X7" t="n">
        <v>20.15</v>
      </c>
      <c r="Y7" t="n">
        <v>60.7</v>
      </c>
      <c r="Z7">
        <f>IF(AND(ISNUMBER(B7), ISNUMBER(MIN(B$2:B$486)), ISNUMBER(MAX(B$2:B$486))), IF(MAX(B$2:B$486)=MIN(B$2:B$486), 50, ROUND((MAX(B$2:B$486)-B7)/(MAX(B$2:B$486)-MIN(B$2:B$486))*100, 2)), "")</f>
        <v/>
      </c>
      <c r="AA7">
        <f>IF(AND(ISNUMBER(X7), ISNUMBER(MIN(X$2:X$486)), ISNUMBER(MAX(X$2:X$486))), IF(MAX(X$2:X$486)=MIN(X$2:X$486), 50, ROUND((MAX(X$2:X$486)-X7)/(MAX(X$2:X$486)-MIN(X$2:X$486))*100, 2)), "")</f>
        <v/>
      </c>
      <c r="AB7">
        <f>IF(AND(ISNUMBER(U7), ISNUMBER(MIN(U$2:U$486)), ISNUMBER(MAX(U$2:U$486))), IF(MAX(U$2:U$486)=MIN(U$2:U$486), 50, ROUND((U7-MIN(U$2:U$486))/(MAX(U$2:U$486)-MIN(U$2:U$486))*100, 2)), "")</f>
        <v/>
      </c>
      <c r="AC7">
        <f>IF(AND(ISNUMBER(Z7), ISNUMBER(AA7), ISNUMBER(AB7)), ROUND((Z7+AA7+AB7)/3, 2), "")</f>
        <v/>
      </c>
    </row>
    <row r="8">
      <c r="A8" t="n">
        <v>168266408</v>
      </c>
      <c r="B8" t="n">
        <v>1500</v>
      </c>
      <c r="C8" t="inlineStr">
        <is>
          <t>£1,500 pcm</t>
        </is>
      </c>
      <c r="D8" t="inlineStr">
        <is>
          <t>monthly</t>
        </is>
      </c>
      <c r="E8" t="inlineStr">
        <is>
          <t>Apartment</t>
        </is>
      </c>
      <c r="F8" t="n">
        <v>2</v>
      </c>
      <c r="G8" t="n">
        <v>1</v>
      </c>
      <c r="H8" t="inlineStr">
        <is>
          <t>Chantry Close, Abbey Wood</t>
        </is>
      </c>
      <c r="I8" t="inlineStr">
        <is>
          <t>Two Bedroom Top 3rd Floor Apartment Prime Location in Abbey Wood, Chantry Close is approximately 100 to 120 metres from Abbey Wood Station an easy 1 2 minute walk. Ideal for commuters with direct access to the Elizabeth Line. Available the beginning of November.</t>
        </is>
      </c>
      <c r="J8" t="inlineStr">
        <is>
          <t>https://www.rightmove.co.uk/properties/168266408#/?channel=RES_LET</t>
        </is>
      </c>
      <c r="K8" t="inlineStr">
        <is>
          <t>/property-to-rent/contactBranch.html?propertyId=168266408</t>
        </is>
      </c>
      <c r="L8" t="inlineStr">
        <is>
          <t>Able Estates, South East London</t>
        </is>
      </c>
      <c r="M8" t="n">
        <v>8201</v>
      </c>
      <c r="N8" t="inlineStr">
        <is>
          <t>Added today</t>
        </is>
      </c>
      <c r="O8" t="inlineStr">
        <is>
          <t>2025-10-16T15:45:04Z</t>
        </is>
      </c>
      <c r="R8" t="inlineStr">
        <is>
          <t>2025-10-16T17:42:11.118417</t>
        </is>
      </c>
      <c r="S8" t="inlineStr">
        <is>
          <t>{'let available date': '03/11/2025', 'deposit': '£1,730', 'min. tenancy': '12 months', 'let type': 'Long term', 'furnish type': 'Unfurnished', 'council tax': 'Ask agent'}</t>
        </is>
      </c>
      <c r="T8" t="n">
        <v>560</v>
      </c>
      <c r="U8" t="n">
        <v>52</v>
      </c>
      <c r="V8" t="b">
        <v>1</v>
      </c>
      <c r="X8" t="n">
        <v>24.56</v>
      </c>
      <c r="Y8" t="n">
        <v>60.6</v>
      </c>
      <c r="Z8">
        <f>IF(AND(ISNUMBER(B8), ISNUMBER(MIN(B$2:B$486)), ISNUMBER(MAX(B$2:B$486))), IF(MAX(B$2:B$486)=MIN(B$2:B$486), 50, ROUND((MAX(B$2:B$486)-B8)/(MAX(B$2:B$486)-MIN(B$2:B$486))*100, 2)), "")</f>
        <v/>
      </c>
      <c r="AA8">
        <f>IF(AND(ISNUMBER(X8), ISNUMBER(MIN(X$2:X$486)), ISNUMBER(MAX(X$2:X$486))), IF(MAX(X$2:X$486)=MIN(X$2:X$486), 50, ROUND((MAX(X$2:X$486)-X8)/(MAX(X$2:X$486)-MIN(X$2:X$486))*100, 2)), "")</f>
        <v/>
      </c>
      <c r="AB8">
        <f>IF(AND(ISNUMBER(U8), ISNUMBER(MIN(U$2:U$486)), ISNUMBER(MAX(U$2:U$486))), IF(MAX(U$2:U$486)=MIN(U$2:U$486), 50, ROUND((U8-MIN(U$2:U$486))/(MAX(U$2:U$486)-MIN(U$2:U$486))*100, 2)), "")</f>
        <v/>
      </c>
      <c r="AC8">
        <f>IF(AND(ISNUMBER(Z8), ISNUMBER(AA8), ISNUMBER(AB8)), ROUND((Z8+AA8+AB8)/3, 2), "")</f>
        <v/>
      </c>
    </row>
    <row r="9">
      <c r="A9" t="n">
        <v>168266405</v>
      </c>
      <c r="B9" t="n">
        <v>1750</v>
      </c>
      <c r="C9" t="inlineStr">
        <is>
          <t>£1,750 pcm</t>
        </is>
      </c>
      <c r="D9" t="inlineStr">
        <is>
          <t>monthly</t>
        </is>
      </c>
      <c r="E9" t="inlineStr">
        <is>
          <t>Flat</t>
        </is>
      </c>
      <c r="F9" t="n">
        <v>2</v>
      </c>
      <c r="G9" t="n">
        <v>0</v>
      </c>
      <c r="H9" t="inlineStr">
        <is>
          <t>Chalkwell Park Avenue, Enfield Town</t>
        </is>
      </c>
      <c r="I9" t="inlineStr">
        <is>
          <t>Introducing to the market this well-presented two-bedroom flat located in the heart of Enfield Town.</t>
        </is>
      </c>
      <c r="J9" t="inlineStr">
        <is>
          <t>https://www.rightmove.co.uk/properties/168266405#/?channel=RES_LET</t>
        </is>
      </c>
      <c r="K9" t="inlineStr">
        <is>
          <t>/property-to-rent/contactBranch.html?propertyId=168266405</t>
        </is>
      </c>
      <c r="L9" t="inlineStr">
        <is>
          <t>Filey Properties, Enfield</t>
        </is>
      </c>
      <c r="M9" t="n">
        <v>271697</v>
      </c>
      <c r="N9" t="inlineStr">
        <is>
          <t>Added today</t>
        </is>
      </c>
      <c r="O9" t="inlineStr">
        <is>
          <t>2025-10-16T15:45:03Z</t>
        </is>
      </c>
      <c r="R9" t="inlineStr">
        <is>
          <t>2025-10-16T17:42:11.118419</t>
        </is>
      </c>
      <c r="S9" t="inlineStr">
        <is>
          <t>{'let available date': 'Now', 'deposit': '£2,019', 'min. tenancy': 'Ask agent', 'let type': 'Long term', 'furnish type': 'Unfurnished', 'council tax': 'Ask agent'}</t>
        </is>
      </c>
      <c r="V9" t="b">
        <v>1</v>
      </c>
      <c r="X9" t="n">
        <v>18.72</v>
      </c>
      <c r="Y9" t="n">
        <v>58.5</v>
      </c>
      <c r="Z9">
        <f>IF(AND(ISNUMBER(B9), ISNUMBER(MIN(B$2:B$486)), ISNUMBER(MAX(B$2:B$486))), IF(MAX(B$2:B$486)=MIN(B$2:B$486), 50, ROUND((MAX(B$2:B$486)-B9)/(MAX(B$2:B$486)-MIN(B$2:B$486))*100, 2)), "")</f>
        <v/>
      </c>
      <c r="AA9">
        <f>IF(AND(ISNUMBER(X9), ISNUMBER(MIN(X$2:X$486)), ISNUMBER(MAX(X$2:X$486))), IF(MAX(X$2:X$486)=MIN(X$2:X$486), 50, ROUND((MAX(X$2:X$486)-X9)/(MAX(X$2:X$486)-MIN(X$2:X$486))*100, 2)), "")</f>
        <v/>
      </c>
      <c r="AB9">
        <f>IF(AND(ISNUMBER(U9), ISNUMBER(MIN(U$2:U$486)), ISNUMBER(MAX(U$2:U$486))), IF(MAX(U$2:U$486)=MIN(U$2:U$486), 50, ROUND((U9-MIN(U$2:U$486))/(MAX(U$2:U$486)-MIN(U$2:U$486))*100, 2)), "")</f>
        <v/>
      </c>
      <c r="AC9">
        <f>IF(AND(ISNUMBER(Z9), ISNUMBER(AA9), ISNUMBER(AB9)), ROUND((Z9+AA9+AB9)/3, 2), "")</f>
        <v/>
      </c>
    </row>
    <row r="10">
      <c r="A10" t="n">
        <v>168265973</v>
      </c>
      <c r="B10" t="n">
        <v>1750</v>
      </c>
      <c r="C10" t="inlineStr">
        <is>
          <t>£1,750 pcm</t>
        </is>
      </c>
      <c r="D10" t="inlineStr">
        <is>
          <t>monthly</t>
        </is>
      </c>
      <c r="E10" t="inlineStr">
        <is>
          <t>Terraced</t>
        </is>
      </c>
      <c r="F10" t="n">
        <v>2</v>
      </c>
      <c r="G10" t="n">
        <v>1</v>
      </c>
      <c r="H10" t="inlineStr">
        <is>
          <t>Hawthorn Grove, Enfield EN2 0DS</t>
        </is>
      </c>
      <c r="I10" t="inlineStr">
        <is>
          <t>This lovely and well presented  terraced cottage  is situated in a quiet residential road. With two double bedrooms, two reception rooms, bathroom with bath and separate shower cubicle, fitted kitchen with appliances, large mature garden with patio, gas central heating and offered fully furnished...</t>
        </is>
      </c>
      <c r="J10" t="inlineStr">
        <is>
          <t>https://www.rightmove.co.uk/properties/168265973#/?channel=RES_LET</t>
        </is>
      </c>
      <c r="K10" t="inlineStr">
        <is>
          <t>/property-to-rent/contactBranch.html?propertyId=168265973</t>
        </is>
      </c>
      <c r="L10" t="inlineStr">
        <is>
          <t>The Accommodating Company, Enfield</t>
        </is>
      </c>
      <c r="M10" t="n">
        <v>253739</v>
      </c>
      <c r="N10" t="inlineStr">
        <is>
          <t>Added today</t>
        </is>
      </c>
      <c r="O10" t="inlineStr">
        <is>
          <t>2025-10-16T15:41:11Z</t>
        </is>
      </c>
      <c r="Q10" t="inlineStr">
        <is>
          <t>EN2</t>
        </is>
      </c>
      <c r="R10" t="inlineStr">
        <is>
          <t>2025-10-16T17:42:11.118422</t>
        </is>
      </c>
      <c r="S10" t="inlineStr">
        <is>
          <t>{'let available date': '01/11/2025', 'deposit': '£2,019', 'min. tenancy': 'Ask agent', 'let type': 'Long term', 'furnish type': 'Furnished', 'council tax': 'Ask agent'}</t>
        </is>
      </c>
      <c r="V10" t="b">
        <v>1</v>
      </c>
      <c r="X10" t="n">
        <v>23.71</v>
      </c>
      <c r="Y10" t="n">
        <v>62.1</v>
      </c>
      <c r="Z10">
        <f>IF(AND(ISNUMBER(B10), ISNUMBER(MIN(B$2:B$486)), ISNUMBER(MAX(B$2:B$486))), IF(MAX(B$2:B$486)=MIN(B$2:B$486), 50, ROUND((MAX(B$2:B$486)-B10)/(MAX(B$2:B$486)-MIN(B$2:B$486))*100, 2)), "")</f>
        <v/>
      </c>
      <c r="AA10">
        <f>IF(AND(ISNUMBER(X10), ISNUMBER(MIN(X$2:X$486)), ISNUMBER(MAX(X$2:X$486))), IF(MAX(X$2:X$486)=MIN(X$2:X$486), 50, ROUND((MAX(X$2:X$486)-X10)/(MAX(X$2:X$486)-MIN(X$2:X$486))*100, 2)), "")</f>
        <v/>
      </c>
      <c r="AB10">
        <f>IF(AND(ISNUMBER(U10), ISNUMBER(MIN(U$2:U$486)), ISNUMBER(MAX(U$2:U$486))), IF(MAX(U$2:U$486)=MIN(U$2:U$486), 50, ROUND((U10-MIN(U$2:U$486))/(MAX(U$2:U$486)-MIN(U$2:U$486))*100, 2)), "")</f>
        <v/>
      </c>
      <c r="AC10">
        <f>IF(AND(ISNUMBER(Z10), ISNUMBER(AA10), ISNUMBER(AB10)), ROUND((Z10+AA10+AB10)/3, 2), "")</f>
        <v/>
      </c>
    </row>
    <row r="11">
      <c r="A11" t="n">
        <v>167206748</v>
      </c>
      <c r="B11" t="n">
        <v>1650</v>
      </c>
      <c r="C11" t="inlineStr">
        <is>
          <t>£1,650 pcm</t>
        </is>
      </c>
      <c r="D11" t="inlineStr">
        <is>
          <t>monthly</t>
        </is>
      </c>
      <c r="E11" t="inlineStr">
        <is>
          <t>Apartment</t>
        </is>
      </c>
      <c r="F11" t="n">
        <v>2</v>
      </c>
      <c r="G11" t="n">
        <v>1</v>
      </c>
      <c r="H11" t="inlineStr">
        <is>
          <t>Longmoor Point, Norley Vale, Roehampton</t>
        </is>
      </c>
      <c r="I11" t="inlineStr">
        <is>
          <t>Available October 16th I Two Double Bedroom I Separate Lounge / Kitchen I Balcony Next Step Estates are delighted to offer this spacious two bedroom apartment located on the 5th floor which offers beautiful views of the surrounding area. The building is serviced by a lift. The (cont.)</t>
        </is>
      </c>
      <c r="J11" t="inlineStr">
        <is>
          <t>https://www.rightmove.co.uk/properties/167206748#/?channel=RES_LET</t>
        </is>
      </c>
      <c r="K11" t="inlineStr">
        <is>
          <t>/property-to-rent/contactBranch.html?propertyId=167206748</t>
        </is>
      </c>
      <c r="L11" t="inlineStr">
        <is>
          <t>Next Step Estates (South West) Ltd, London</t>
        </is>
      </c>
      <c r="M11" t="n">
        <v>184157</v>
      </c>
      <c r="N11" t="inlineStr">
        <is>
          <t>Added today</t>
        </is>
      </c>
      <c r="O11" t="inlineStr">
        <is>
          <t>2025-09-19T16:30:22Z</t>
        </is>
      </c>
      <c r="R11" t="inlineStr">
        <is>
          <t>2025-10-16T17:42:11.118424</t>
        </is>
      </c>
      <c r="S11" t="inlineStr">
        <is>
          <t>{'let available date': 'Now', 'deposit': '£1,900', 'min. tenancy': 'Ask agent', 'let type': 'Long term', 'furnish type': 'Furnished or unfurnished, landlord is flexible', 'council tax': 'Ask agent'}</t>
        </is>
      </c>
      <c r="V11" t="b">
        <v>1</v>
      </c>
      <c r="X11" t="n">
        <v>12.4</v>
      </c>
      <c r="Y11" t="n">
        <v>48</v>
      </c>
      <c r="Z11">
        <f>IF(AND(ISNUMBER(B11), ISNUMBER(MIN(B$2:B$486)), ISNUMBER(MAX(B$2:B$486))), IF(MAX(B$2:B$486)=MIN(B$2:B$486), 50, ROUND((MAX(B$2:B$486)-B11)/(MAX(B$2:B$486)-MIN(B$2:B$486))*100, 2)), "")</f>
        <v/>
      </c>
      <c r="AA11">
        <f>IF(AND(ISNUMBER(X11), ISNUMBER(MIN(X$2:X$486)), ISNUMBER(MAX(X$2:X$486))), IF(MAX(X$2:X$486)=MIN(X$2:X$486), 50, ROUND((MAX(X$2:X$486)-X11)/(MAX(X$2:X$486)-MIN(X$2:X$486))*100, 2)), "")</f>
        <v/>
      </c>
      <c r="AB11">
        <f>IF(AND(ISNUMBER(U11), ISNUMBER(MIN(U$2:U$486)), ISNUMBER(MAX(U$2:U$486))), IF(MAX(U$2:U$486)=MIN(U$2:U$486), 50, ROUND((U11-MIN(U$2:U$486))/(MAX(U$2:U$486)-MIN(U$2:U$486))*100, 2)), "")</f>
        <v/>
      </c>
      <c r="AC11">
        <f>IF(AND(ISNUMBER(Z11), ISNUMBER(AA11), ISNUMBER(AB11)), ROUND((Z11+AA11+AB11)/3, 2), "")</f>
        <v/>
      </c>
    </row>
    <row r="12">
      <c r="A12" t="n">
        <v>168264752</v>
      </c>
      <c r="B12" t="n">
        <v>1450</v>
      </c>
      <c r="C12" t="inlineStr">
        <is>
          <t>£1,450 pcm</t>
        </is>
      </c>
      <c r="D12" t="inlineStr">
        <is>
          <t>monthly</t>
        </is>
      </c>
      <c r="E12" t="inlineStr">
        <is>
          <t>Apartment</t>
        </is>
      </c>
      <c r="F12" t="n">
        <v>2</v>
      </c>
      <c r="G12" t="n">
        <v>1</v>
      </c>
      <c r="H12" t="inlineStr">
        <is>
          <t>High Street, London, SE25</t>
        </is>
      </c>
      <c r="I12" t="inlineStr">
        <is>
          <t>Well presented two-bedroom flat located on the second floor, available to rent. Conveniently situated a short distance from Norwood Junction station. Offered unfurnished. Enquire now to arrange a viewing.</t>
        </is>
      </c>
      <c r="J12" t="inlineStr">
        <is>
          <t>https://www.rightmove.co.uk/properties/168264752#/?channel=RES_LET</t>
        </is>
      </c>
      <c r="K12" t="inlineStr">
        <is>
          <t>/property-to-rent/contactBranch.html?propertyId=168264752</t>
        </is>
      </c>
      <c r="L12" t="inlineStr">
        <is>
          <t>Streets Ahead, South Norwood</t>
        </is>
      </c>
      <c r="M12" t="n">
        <v>181634</v>
      </c>
      <c r="N12" t="inlineStr">
        <is>
          <t>Added today</t>
        </is>
      </c>
      <c r="O12" t="inlineStr">
        <is>
          <t>2025-10-16T15:24:58Z</t>
        </is>
      </c>
      <c r="Q12" t="inlineStr">
        <is>
          <t>SE25</t>
        </is>
      </c>
      <c r="R12" t="inlineStr">
        <is>
          <t>2025-10-16T17:42:11.118427</t>
        </is>
      </c>
      <c r="S12" t="inlineStr">
        <is>
          <t>{'let available date': '06/11/2025', 'deposit': '£1,673', 'min. tenancy': 'Ask agent', 'let type': 'Long term', 'furnish type': 'Unfurnished', 'council tax': 'Ask agent'}</t>
        </is>
      </c>
      <c r="V12" t="b">
        <v>1</v>
      </c>
      <c r="X12" t="n">
        <v>16.69</v>
      </c>
      <c r="Y12" t="n">
        <v>52.9</v>
      </c>
      <c r="Z12">
        <f>IF(AND(ISNUMBER(B12), ISNUMBER(MIN(B$2:B$486)), ISNUMBER(MAX(B$2:B$486))), IF(MAX(B$2:B$486)=MIN(B$2:B$486), 50, ROUND((MAX(B$2:B$486)-B12)/(MAX(B$2:B$486)-MIN(B$2:B$486))*100, 2)), "")</f>
        <v/>
      </c>
      <c r="AA12">
        <f>IF(AND(ISNUMBER(X12), ISNUMBER(MIN(X$2:X$486)), ISNUMBER(MAX(X$2:X$486))), IF(MAX(X$2:X$486)=MIN(X$2:X$486), 50, ROUND((MAX(X$2:X$486)-X12)/(MAX(X$2:X$486)-MIN(X$2:X$486))*100, 2)), "")</f>
        <v/>
      </c>
      <c r="AB12">
        <f>IF(AND(ISNUMBER(U12), ISNUMBER(MIN(U$2:U$486)), ISNUMBER(MAX(U$2:U$486))), IF(MAX(U$2:U$486)=MIN(U$2:U$486), 50, ROUND((U12-MIN(U$2:U$486))/(MAX(U$2:U$486)-MIN(U$2:U$486))*100, 2)), "")</f>
        <v/>
      </c>
      <c r="AC12">
        <f>IF(AND(ISNUMBER(Z12), ISNUMBER(AA12), ISNUMBER(AB12)), ROUND((Z12+AA12+AB12)/3, 2), "")</f>
        <v/>
      </c>
    </row>
    <row r="13">
      <c r="A13" t="n">
        <v>148013678</v>
      </c>
      <c r="B13" t="n">
        <v>1675</v>
      </c>
      <c r="C13" t="inlineStr">
        <is>
          <t>£1,675 pcm</t>
        </is>
      </c>
      <c r="D13" t="inlineStr">
        <is>
          <t>monthly</t>
        </is>
      </c>
      <c r="E13" t="inlineStr">
        <is>
          <t>Flat</t>
        </is>
      </c>
      <c r="F13" t="n">
        <v>2</v>
      </c>
      <c r="H13" t="inlineStr">
        <is>
          <t>High Road Leyton, London, E10</t>
        </is>
      </c>
      <c r="I13" t="inlineStr">
        <is>
          <t>Second-floor two-bedroom flat on High Road Leyton is available now</t>
        </is>
      </c>
      <c r="J13" t="inlineStr">
        <is>
          <t>https://www.rightmove.co.uk/properties/148013678#/?channel=RES_LET</t>
        </is>
      </c>
      <c r="K13" t="inlineStr">
        <is>
          <t>/property-to-rent/contactBranch.html?propertyId=148013678</t>
        </is>
      </c>
      <c r="L13" t="inlineStr">
        <is>
          <t>Yellands, South Woodford</t>
        </is>
      </c>
      <c r="M13" t="n">
        <v>62254</v>
      </c>
      <c r="N13" t="inlineStr">
        <is>
          <t>Added today</t>
        </is>
      </c>
      <c r="O13" t="inlineStr">
        <is>
          <t>2024-05-15T12:36:40Z</t>
        </is>
      </c>
      <c r="Q13" t="inlineStr">
        <is>
          <t>E10</t>
        </is>
      </c>
      <c r="R13" t="inlineStr">
        <is>
          <t>2025-10-16T17:42:11.118429</t>
        </is>
      </c>
      <c r="S13" t="inlineStr">
        <is>
          <t>{'let available date': 'Ask agent', 'deposit': 'Ask agent', 'min. tenancy': 'Ask agent', 'let type': 'Long term', 'furnish type': 'Ask agent', 'council tax': 'Ask agent'}</t>
        </is>
      </c>
      <c r="V13" t="b">
        <v>1</v>
      </c>
      <c r="X13" t="n">
        <v>12.31</v>
      </c>
      <c r="Y13" t="n">
        <v>49.3</v>
      </c>
      <c r="Z13">
        <f>IF(AND(ISNUMBER(B13), ISNUMBER(MIN(B$2:B$486)), ISNUMBER(MAX(B$2:B$486))), IF(MAX(B$2:B$486)=MIN(B$2:B$486), 50, ROUND((MAX(B$2:B$486)-B13)/(MAX(B$2:B$486)-MIN(B$2:B$486))*100, 2)), "")</f>
        <v/>
      </c>
      <c r="AA13">
        <f>IF(AND(ISNUMBER(X13), ISNUMBER(MIN(X$2:X$486)), ISNUMBER(MAX(X$2:X$486))), IF(MAX(X$2:X$486)=MIN(X$2:X$486), 50, ROUND((MAX(X$2:X$486)-X13)/(MAX(X$2:X$486)-MIN(X$2:X$486))*100, 2)), "")</f>
        <v/>
      </c>
      <c r="AB13">
        <f>IF(AND(ISNUMBER(U13), ISNUMBER(MIN(U$2:U$486)), ISNUMBER(MAX(U$2:U$486))), IF(MAX(U$2:U$486)=MIN(U$2:U$486), 50, ROUND((U13-MIN(U$2:U$486))/(MAX(U$2:U$486)-MIN(U$2:U$486))*100, 2)), "")</f>
        <v/>
      </c>
      <c r="AC13">
        <f>IF(AND(ISNUMBER(Z13), ISNUMBER(AA13), ISNUMBER(AB13)), ROUND((Z13+AA13+AB13)/3, 2), "")</f>
        <v/>
      </c>
    </row>
    <row r="14">
      <c r="A14" t="n">
        <v>168263663</v>
      </c>
      <c r="B14" t="n">
        <v>1600</v>
      </c>
      <c r="C14" t="inlineStr">
        <is>
          <t>£1,600 pcm</t>
        </is>
      </c>
      <c r="D14" t="inlineStr">
        <is>
          <t>monthly</t>
        </is>
      </c>
      <c r="E14" t="inlineStr">
        <is>
          <t>Flat</t>
        </is>
      </c>
      <c r="F14" t="n">
        <v>2</v>
      </c>
      <c r="G14" t="n">
        <v>1</v>
      </c>
      <c r="H14" t="inlineStr">
        <is>
          <t>Hardcastle Close, Croydon, CR0</t>
        </is>
      </c>
      <c r="I14" t="inlineStr">
        <is>
          <t>**AVAILABLE ASAP** - 2 BED FLAT - RECENTLY RENNOVATED WITH PARKING INCLUDED AND QUIET CUL-DE-SAC LOCATION</t>
        </is>
      </c>
      <c r="J14" t="inlineStr">
        <is>
          <t>https://www.rightmove.co.uk/properties/168263663#/?channel=RES_LET</t>
        </is>
      </c>
      <c r="K14" t="inlineStr">
        <is>
          <t>/property-to-rent/contactBranch.html?propertyId=168263663</t>
        </is>
      </c>
      <c r="L14" t="inlineStr">
        <is>
          <t>Bairstow Eves Lettings, Croydon</t>
        </is>
      </c>
      <c r="M14" t="n">
        <v>3305</v>
      </c>
      <c r="N14" t="inlineStr">
        <is>
          <t>Added today</t>
        </is>
      </c>
      <c r="O14" t="inlineStr">
        <is>
          <t>2025-10-16T15:10:41Z</t>
        </is>
      </c>
      <c r="Q14" t="inlineStr">
        <is>
          <t>CR0</t>
        </is>
      </c>
      <c r="R14" t="inlineStr">
        <is>
          <t>2025-10-16T17:42:11.118432</t>
        </is>
      </c>
      <c r="S14" t="inlineStr">
        <is>
          <t>{'let available date': '20/10/2025', 'deposit': '£1,846', 'min. tenancy': 'Ask agent', 'let type': 'Long term', 'furnish type': 'Unfurnished', 'council tax': 'Ask agent'}</t>
        </is>
      </c>
      <c r="V14" t="b">
        <v>1</v>
      </c>
      <c r="X14" t="n">
        <v>21.98</v>
      </c>
      <c r="Y14" t="n">
        <v>61.8</v>
      </c>
      <c r="Z14">
        <f>IF(AND(ISNUMBER(B14), ISNUMBER(MIN(B$2:B$486)), ISNUMBER(MAX(B$2:B$486))), IF(MAX(B$2:B$486)=MIN(B$2:B$486), 50, ROUND((MAX(B$2:B$486)-B14)/(MAX(B$2:B$486)-MIN(B$2:B$486))*100, 2)), "")</f>
        <v/>
      </c>
      <c r="AA14">
        <f>IF(AND(ISNUMBER(X14), ISNUMBER(MIN(X$2:X$486)), ISNUMBER(MAX(X$2:X$486))), IF(MAX(X$2:X$486)=MIN(X$2:X$486), 50, ROUND((MAX(X$2:X$486)-X14)/(MAX(X$2:X$486)-MIN(X$2:X$486))*100, 2)), "")</f>
        <v/>
      </c>
      <c r="AB14">
        <f>IF(AND(ISNUMBER(U14), ISNUMBER(MIN(U$2:U$486)), ISNUMBER(MAX(U$2:U$486))), IF(MAX(U$2:U$486)=MIN(U$2:U$486), 50, ROUND((U14-MIN(U$2:U$486))/(MAX(U$2:U$486)-MIN(U$2:U$486))*100, 2)), "")</f>
        <v/>
      </c>
      <c r="AC14">
        <f>IF(AND(ISNUMBER(Z14), ISNUMBER(AA14), ISNUMBER(AB14)), ROUND((Z14+AA14+AB14)/3, 2), "")</f>
        <v/>
      </c>
    </row>
    <row r="15">
      <c r="A15" t="n">
        <v>167936144</v>
      </c>
      <c r="B15" t="n">
        <v>1700</v>
      </c>
      <c r="C15" t="inlineStr">
        <is>
          <t>£1,700 pcm</t>
        </is>
      </c>
      <c r="D15" t="inlineStr">
        <is>
          <t>monthly</t>
        </is>
      </c>
      <c r="E15" t="inlineStr">
        <is>
          <t>Flat</t>
        </is>
      </c>
      <c r="F15" t="n">
        <v>2</v>
      </c>
      <c r="G15" t="n">
        <v>2</v>
      </c>
      <c r="H15" t="inlineStr">
        <is>
          <t>Forelle Way, Carshalton, SM5</t>
        </is>
      </c>
      <c r="I15" t="inlineStr">
        <is>
          <t>Belvoir is pleased to market this stunning two-bedroom 2-bath apartment located in a highly sought-after area of Carshalton Beeches.</t>
        </is>
      </c>
      <c r="J15" t="inlineStr">
        <is>
          <t>https://www.rightmove.co.uk/properties/167936144#/?channel=RES_LET</t>
        </is>
      </c>
      <c r="K15" t="inlineStr">
        <is>
          <t>/property-to-rent/contactBranch.html?propertyId=167936144</t>
        </is>
      </c>
      <c r="L15" t="inlineStr">
        <is>
          <t>Belvoir, Sutton</t>
        </is>
      </c>
      <c r="M15" t="n">
        <v>67392</v>
      </c>
      <c r="N15" t="inlineStr">
        <is>
          <t>Reduced today</t>
        </is>
      </c>
      <c r="O15" t="inlineStr">
        <is>
          <t>2025-10-07T17:52:15Z</t>
        </is>
      </c>
      <c r="Q15" t="inlineStr">
        <is>
          <t>SM5</t>
        </is>
      </c>
      <c r="R15" t="inlineStr">
        <is>
          <t>2025-10-16T17:42:11.118435</t>
        </is>
      </c>
      <c r="S15" t="inlineStr">
        <is>
          <t>{'let available date': 'Now', 'deposit': '£1,961', 'min. tenancy': 'Ask agent', 'let type': 'Long term', 'furnish type': 'Unfurnished', 'council tax': 'Ask agent'}</t>
        </is>
      </c>
      <c r="V15" t="b">
        <v>1</v>
      </c>
      <c r="X15" t="n">
        <v>21.04</v>
      </c>
      <c r="Y15" t="n">
        <v>65.59999999999999</v>
      </c>
      <c r="Z15">
        <f>IF(AND(ISNUMBER(B15), ISNUMBER(MIN(B$2:B$486)), ISNUMBER(MAX(B$2:B$486))), IF(MAX(B$2:B$486)=MIN(B$2:B$486), 50, ROUND((MAX(B$2:B$486)-B15)/(MAX(B$2:B$486)-MIN(B$2:B$486))*100, 2)), "")</f>
        <v/>
      </c>
      <c r="AA15">
        <f>IF(AND(ISNUMBER(X15), ISNUMBER(MIN(X$2:X$486)), ISNUMBER(MAX(X$2:X$486))), IF(MAX(X$2:X$486)=MIN(X$2:X$486), 50, ROUND((MAX(X$2:X$486)-X15)/(MAX(X$2:X$486)-MIN(X$2:X$486))*100, 2)), "")</f>
        <v/>
      </c>
      <c r="AB15">
        <f>IF(AND(ISNUMBER(U15), ISNUMBER(MIN(U$2:U$486)), ISNUMBER(MAX(U$2:U$486))), IF(MAX(U$2:U$486)=MIN(U$2:U$486), 50, ROUND((U15-MIN(U$2:U$486))/(MAX(U$2:U$486)-MIN(U$2:U$486))*100, 2)), "")</f>
        <v/>
      </c>
      <c r="AC15">
        <f>IF(AND(ISNUMBER(Z15), ISNUMBER(AA15), ISNUMBER(AB15)), ROUND((Z15+AA15+AB15)/3, 2), "")</f>
        <v/>
      </c>
    </row>
    <row r="16">
      <c r="A16" t="n">
        <v>168262154</v>
      </c>
      <c r="B16" t="n">
        <v>1600</v>
      </c>
      <c r="C16" t="inlineStr">
        <is>
          <t>£1,600 pcm</t>
        </is>
      </c>
      <c r="D16" t="inlineStr">
        <is>
          <t>monthly</t>
        </is>
      </c>
      <c r="E16" t="inlineStr">
        <is>
          <t>Apartment</t>
        </is>
      </c>
      <c r="F16" t="n">
        <v>2</v>
      </c>
      <c r="G16" t="n">
        <v>1</v>
      </c>
      <c r="H16" t="inlineStr">
        <is>
          <t>The Broadway, Cheam, Sutton, SM3</t>
        </is>
      </c>
      <c r="I16" t="inlineStr">
        <is>
          <t>NEWLY REFURBISHED FIRST FLOOR TWO BEDROOM APARTMENT BOASTING STORAGE. Located in the heart of Cheam Village, situated near to some of the area’s most sought after schools and local amenities in and around Cheam Village, including Cheam Station, ideal for commuters working in and aroun...</t>
        </is>
      </c>
      <c r="J16" t="inlineStr">
        <is>
          <t>https://www.rightmove.co.uk/properties/168262154#/?channel=RES_LET</t>
        </is>
      </c>
      <c r="K16" t="inlineStr">
        <is>
          <t>/property-to-rent/contactBranch.html?propertyId=168262154</t>
        </is>
      </c>
      <c r="L16" t="inlineStr">
        <is>
          <t>Goodfellows, Cheam Village Lettings</t>
        </is>
      </c>
      <c r="M16" t="n">
        <v>72259</v>
      </c>
      <c r="N16" t="inlineStr">
        <is>
          <t>Added today</t>
        </is>
      </c>
      <c r="O16" t="inlineStr">
        <is>
          <t>2025-10-16T14:50:49Z</t>
        </is>
      </c>
      <c r="Q16" t="inlineStr">
        <is>
          <t>SM3</t>
        </is>
      </c>
      <c r="R16" t="inlineStr">
        <is>
          <t>2025-10-16T17:42:11.118437</t>
        </is>
      </c>
      <c r="S16" t="inlineStr">
        <is>
          <t>{'let available date': 'Now', 'deposit': '£0', 'min. tenancy': 'Ask agent', 'let type': 'Long term', 'furnish type': 'Ask agent', 'council tax': 'Ask agent'}</t>
        </is>
      </c>
      <c r="V16" t="b">
        <v>1</v>
      </c>
      <c r="X16" t="n">
        <v>20.89</v>
      </c>
      <c r="Y16" t="n">
        <v>63.8</v>
      </c>
      <c r="Z16">
        <f>IF(AND(ISNUMBER(B16), ISNUMBER(MIN(B$2:B$486)), ISNUMBER(MAX(B$2:B$486))), IF(MAX(B$2:B$486)=MIN(B$2:B$486), 50, ROUND((MAX(B$2:B$486)-B16)/(MAX(B$2:B$486)-MIN(B$2:B$486))*100, 2)), "")</f>
        <v/>
      </c>
      <c r="AA16">
        <f>IF(AND(ISNUMBER(X16), ISNUMBER(MIN(X$2:X$486)), ISNUMBER(MAX(X$2:X$486))), IF(MAX(X$2:X$486)=MIN(X$2:X$486), 50, ROUND((MAX(X$2:X$486)-X16)/(MAX(X$2:X$486)-MIN(X$2:X$486))*100, 2)), "")</f>
        <v/>
      </c>
      <c r="AB16">
        <f>IF(AND(ISNUMBER(U16), ISNUMBER(MIN(U$2:U$486)), ISNUMBER(MAX(U$2:U$486))), IF(MAX(U$2:U$486)=MIN(U$2:U$486), 50, ROUND((U16-MIN(U$2:U$486))/(MAX(U$2:U$486)-MIN(U$2:U$486))*100, 2)), "")</f>
        <v/>
      </c>
      <c r="AC16">
        <f>IF(AND(ISNUMBER(Z16), ISNUMBER(AA16), ISNUMBER(AB16)), ROUND((Z16+AA16+AB16)/3, 2), "")</f>
        <v/>
      </c>
    </row>
    <row r="17">
      <c r="A17" t="n">
        <v>168261509</v>
      </c>
      <c r="B17" t="n">
        <v>1700</v>
      </c>
      <c r="C17" t="inlineStr">
        <is>
          <t>£1,700 pcm</t>
        </is>
      </c>
      <c r="D17" t="inlineStr">
        <is>
          <t>monthly</t>
        </is>
      </c>
      <c r="E17" t="inlineStr">
        <is>
          <t>Flat</t>
        </is>
      </c>
      <c r="F17" t="n">
        <v>2</v>
      </c>
      <c r="G17" t="n">
        <v>1</v>
      </c>
      <c r="H17" t="inlineStr">
        <is>
          <t>Arngask Road, LONDON, SE6</t>
        </is>
      </c>
      <c r="I17" t="inlineStr">
        <is>
          <t>A well-presented two-bedroom first-floor conversion flat, ideally located just a short walk from Hither Green Station, offering convenient access to London Bridge via mainline services.The property comprises two bedrooms, a spacious reception room, and a newly refurbished kitchen and ba...</t>
        </is>
      </c>
      <c r="J17" t="inlineStr">
        <is>
          <t>https://www.rightmove.co.uk/properties/168261509#/?channel=RES_LET</t>
        </is>
      </c>
      <c r="K17" t="inlineStr">
        <is>
          <t>/property-to-rent/contactBranch.html?propertyId=168261509</t>
        </is>
      </c>
      <c r="L17" t="inlineStr">
        <is>
          <t>Curran &amp; Pinner, Bromley</t>
        </is>
      </c>
      <c r="M17" t="n">
        <v>74059</v>
      </c>
      <c r="N17" t="inlineStr">
        <is>
          <t>Added today</t>
        </is>
      </c>
      <c r="O17" t="inlineStr">
        <is>
          <t>2025-10-16T14:42:55Z</t>
        </is>
      </c>
      <c r="Q17" t="inlineStr">
        <is>
          <t>SE6</t>
        </is>
      </c>
      <c r="R17" t="inlineStr">
        <is>
          <t>2025-10-16T17:42:11.118440</t>
        </is>
      </c>
      <c r="S17" t="inlineStr">
        <is>
          <t>{'let available date': '20/11/2025', 'deposit': '£1,961', 'min. tenancy': '12 months', 'let type': 'Long term', 'furnish type': 'Unfurnished', 'council tax': 'Ask agent'}</t>
        </is>
      </c>
      <c r="V17" t="b">
        <v>1</v>
      </c>
      <c r="X17" t="n">
        <v>14.74</v>
      </c>
      <c r="Y17" t="n">
        <v>50.4</v>
      </c>
      <c r="Z17">
        <f>IF(AND(ISNUMBER(B17), ISNUMBER(MIN(B$2:B$486)), ISNUMBER(MAX(B$2:B$486))), IF(MAX(B$2:B$486)=MIN(B$2:B$486), 50, ROUND((MAX(B$2:B$486)-B17)/(MAX(B$2:B$486)-MIN(B$2:B$486))*100, 2)), "")</f>
        <v/>
      </c>
      <c r="AA17">
        <f>IF(AND(ISNUMBER(X17), ISNUMBER(MIN(X$2:X$486)), ISNUMBER(MAX(X$2:X$486))), IF(MAX(X$2:X$486)=MIN(X$2:X$486), 50, ROUND((MAX(X$2:X$486)-X17)/(MAX(X$2:X$486)-MIN(X$2:X$486))*100, 2)), "")</f>
        <v/>
      </c>
      <c r="AB17">
        <f>IF(AND(ISNUMBER(U17), ISNUMBER(MIN(U$2:U$486)), ISNUMBER(MAX(U$2:U$486))), IF(MAX(U$2:U$486)=MIN(U$2:U$486), 50, ROUND((U17-MIN(U$2:U$486))/(MAX(U$2:U$486)-MIN(U$2:U$486))*100, 2)), "")</f>
        <v/>
      </c>
      <c r="AC17">
        <f>IF(AND(ISNUMBER(Z17), ISNUMBER(AA17), ISNUMBER(AB17)), ROUND((Z17+AA17+AB17)/3, 2), "")</f>
        <v/>
      </c>
    </row>
    <row r="18">
      <c r="A18" t="n">
        <v>87302541</v>
      </c>
      <c r="B18" t="n">
        <v>1650</v>
      </c>
      <c r="C18" t="inlineStr">
        <is>
          <t>£1,650 pcm</t>
        </is>
      </c>
      <c r="D18" t="inlineStr">
        <is>
          <t>monthly</t>
        </is>
      </c>
      <c r="E18" t="inlineStr">
        <is>
          <t>Apartment</t>
        </is>
      </c>
      <c r="F18" t="n">
        <v>2</v>
      </c>
      <c r="H18" t="inlineStr">
        <is>
          <t>Cheam Common Road, Worcester Park</t>
        </is>
      </c>
      <c r="I18" t="inlineStr">
        <is>
          <t>**Zero Deposit Available**
This modern new-build two-bedroom flat offers bright and contemporary living in a sought-after Worcester Park location. Featuring a spacious open-plan kitchen and living area, the property is perfect for entertaining or relaxing, with direct access to a private balcony....</t>
        </is>
      </c>
      <c r="J18" t="inlineStr">
        <is>
          <t>https://www.rightmove.co.uk/properties/87302541#/?channel=RES_LET</t>
        </is>
      </c>
      <c r="K18" t="inlineStr">
        <is>
          <t>/property-to-rent/contactBranch.html?propertyId=87302541</t>
        </is>
      </c>
      <c r="L18" t="inlineStr">
        <is>
          <t>Barnard Marcus Lettings, Worcester Park - Lettings</t>
        </is>
      </c>
      <c r="M18" t="n">
        <v>125851</v>
      </c>
      <c r="N18" t="inlineStr">
        <is>
          <t>Reduced today</t>
        </is>
      </c>
      <c r="O18" t="inlineStr">
        <is>
          <t>2025-10-14T12:48:26Z</t>
        </is>
      </c>
      <c r="R18" t="inlineStr">
        <is>
          <t>2025-10-16T17:42:11.118442</t>
        </is>
      </c>
      <c r="S18" t="inlineStr">
        <is>
          <t>{'let available date': '31/10/2025', 'deposit': '£2,019', 'min. tenancy': 'Ask agent', 'let type': 'Long term', 'furnish type': 'Unfurnished', 'council tax': 'Ask agent'}</t>
        </is>
      </c>
      <c r="V18" t="b">
        <v>1</v>
      </c>
      <c r="X18" t="n">
        <v>23.52</v>
      </c>
      <c r="Y18" t="n">
        <v>60.6</v>
      </c>
      <c r="Z18">
        <f>IF(AND(ISNUMBER(B18), ISNUMBER(MIN(B$2:B$486)), ISNUMBER(MAX(B$2:B$486))), IF(MAX(B$2:B$486)=MIN(B$2:B$486), 50, ROUND((MAX(B$2:B$486)-B18)/(MAX(B$2:B$486)-MIN(B$2:B$486))*100, 2)), "")</f>
        <v/>
      </c>
      <c r="AA18">
        <f>IF(AND(ISNUMBER(X18), ISNUMBER(MIN(X$2:X$486)), ISNUMBER(MAX(X$2:X$486))), IF(MAX(X$2:X$486)=MIN(X$2:X$486), 50, ROUND((MAX(X$2:X$486)-X18)/(MAX(X$2:X$486)-MIN(X$2:X$486))*100, 2)), "")</f>
        <v/>
      </c>
      <c r="AB18">
        <f>IF(AND(ISNUMBER(U18), ISNUMBER(MIN(U$2:U$486)), ISNUMBER(MAX(U$2:U$486))), IF(MAX(U$2:U$486)=MIN(U$2:U$486), 50, ROUND((U18-MIN(U$2:U$486))/(MAX(U$2:U$486)-MIN(U$2:U$486))*100, 2)), "")</f>
        <v/>
      </c>
      <c r="AC18">
        <f>IF(AND(ISNUMBER(Z18), ISNUMBER(AA18), ISNUMBER(AB18)), ROUND((Z18+AA18+AB18)/3, 2), "")</f>
        <v/>
      </c>
    </row>
    <row r="19">
      <c r="A19" t="n">
        <v>153591974</v>
      </c>
      <c r="B19" t="n">
        <v>1750</v>
      </c>
      <c r="C19" t="inlineStr">
        <is>
          <t>£1,750 pcm</t>
        </is>
      </c>
      <c r="D19" t="inlineStr">
        <is>
          <t>monthly</t>
        </is>
      </c>
      <c r="E19" t="inlineStr">
        <is>
          <t>Flat</t>
        </is>
      </c>
      <c r="F19" t="n">
        <v>2</v>
      </c>
      <c r="G19" t="n">
        <v>1</v>
      </c>
      <c r="H19" t="inlineStr">
        <is>
          <t>Dundee Road, London, E13</t>
        </is>
      </c>
      <c r="I19" t="inlineStr">
        <is>
          <t>Lawlor present this recently renovated and much larger than average two double bedroom apartment as part of this private development situated only 10 minutes walk away from Plaistow underground station. The property comprises of a large lounge with a private balcony and opening to a fully fitted kit</t>
        </is>
      </c>
      <c r="J19" t="inlineStr">
        <is>
          <t>https://www.rightmove.co.uk/properties/153591974#/?channel=RES_LET</t>
        </is>
      </c>
      <c r="K19" t="inlineStr">
        <is>
          <t>/property-to-rent/contactBranch.html?propertyId=153591974</t>
        </is>
      </c>
      <c r="L19" t="inlineStr">
        <is>
          <t>Lawlors Estate Agents, Hayes</t>
        </is>
      </c>
      <c r="M19" t="n">
        <v>19332</v>
      </c>
      <c r="N19" t="inlineStr">
        <is>
          <t>Reduced today</t>
        </is>
      </c>
      <c r="O19" t="inlineStr">
        <is>
          <t>2024-10-10T11:12:39Z</t>
        </is>
      </c>
      <c r="Q19" t="inlineStr">
        <is>
          <t>E13</t>
        </is>
      </c>
      <c r="R19" t="inlineStr">
        <is>
          <t>2025-10-16T17:42:11.118445</t>
        </is>
      </c>
      <c r="S19" t="inlineStr">
        <is>
          <t>{'let available date': 'Ask agent', 'deposit': 'Ask agent', 'min. tenancy': 'Ask agent', 'let type': 'Long term', 'furnish type': 'Furnished or unfurnished, landlord is flexible', 'council tax': 'Ask agent'}</t>
        </is>
      </c>
      <c r="V19" t="b">
        <v>1</v>
      </c>
      <c r="X19" t="n">
        <v>15.12</v>
      </c>
      <c r="Y19" t="n">
        <v>46.3</v>
      </c>
      <c r="Z19">
        <f>IF(AND(ISNUMBER(B19), ISNUMBER(MIN(B$2:B$486)), ISNUMBER(MAX(B$2:B$486))), IF(MAX(B$2:B$486)=MIN(B$2:B$486), 50, ROUND((MAX(B$2:B$486)-B19)/(MAX(B$2:B$486)-MIN(B$2:B$486))*100, 2)), "")</f>
        <v/>
      </c>
      <c r="AA19">
        <f>IF(AND(ISNUMBER(X19), ISNUMBER(MIN(X$2:X$486)), ISNUMBER(MAX(X$2:X$486))), IF(MAX(X$2:X$486)=MIN(X$2:X$486), 50, ROUND((MAX(X$2:X$486)-X19)/(MAX(X$2:X$486)-MIN(X$2:X$486))*100, 2)), "")</f>
        <v/>
      </c>
      <c r="AB19">
        <f>IF(AND(ISNUMBER(U19), ISNUMBER(MIN(U$2:U$486)), ISNUMBER(MAX(U$2:U$486))), IF(MAX(U$2:U$486)=MIN(U$2:U$486), 50, ROUND((U19-MIN(U$2:U$486))/(MAX(U$2:U$486)-MIN(U$2:U$486))*100, 2)), "")</f>
        <v/>
      </c>
      <c r="AC19">
        <f>IF(AND(ISNUMBER(Z19), ISNUMBER(AA19), ISNUMBER(AB19)), ROUND((Z19+AA19+AB19)/3, 2), "")</f>
        <v/>
      </c>
    </row>
    <row r="20">
      <c r="A20" t="n">
        <v>87341148</v>
      </c>
      <c r="B20" t="n">
        <v>1700</v>
      </c>
      <c r="C20" t="inlineStr">
        <is>
          <t>£1,700 pcm</t>
        </is>
      </c>
      <c r="D20" t="inlineStr">
        <is>
          <t>monthly</t>
        </is>
      </c>
      <c r="E20" t="inlineStr">
        <is>
          <t>Flat</t>
        </is>
      </c>
      <c r="F20" t="n">
        <v>2</v>
      </c>
      <c r="G20" t="n">
        <v>1</v>
      </c>
      <c r="H20" t="inlineStr">
        <is>
          <t>Canonbie Road, Forest Hill, London, SE23</t>
        </is>
      </c>
      <c r="I20" t="inlineStr">
        <is>
          <t>A charming two-bedroom Victorian period conversion with a private roof terrace and amazing views to let on the very popular Canonbie Road in Forest Hill. This delightful property features a bright open-plan kitchen/living room, a modern bathroom suite, two bedrooms, and a private roof te...</t>
        </is>
      </c>
      <c r="J20" t="inlineStr">
        <is>
          <t>https://www.rightmove.co.uk/properties/87341148#/?channel=RES_LET</t>
        </is>
      </c>
      <c r="K20" t="inlineStr">
        <is>
          <t>/property-to-rent/contactBranch.html?propertyId=87341148</t>
        </is>
      </c>
      <c r="L20" t="inlineStr">
        <is>
          <t>Pedder, Forest Hill</t>
        </is>
      </c>
      <c r="M20" t="n">
        <v>21470</v>
      </c>
      <c r="N20" t="inlineStr">
        <is>
          <t>Added today</t>
        </is>
      </c>
      <c r="O20" t="inlineStr">
        <is>
          <t>2025-10-16T13:51:21Z</t>
        </is>
      </c>
      <c r="Q20" t="inlineStr">
        <is>
          <t>SE23</t>
        </is>
      </c>
      <c r="R20" t="inlineStr">
        <is>
          <t>2025-10-16T17:42:11.118448</t>
        </is>
      </c>
      <c r="S20" t="inlineStr">
        <is>
          <t>{'let available date': 'Ask agent', 'deposit': '£1,961', 'min. tenancy': 'Ask agent', 'let type': 'Long term', 'furnish type': 'Furnished or unfurnished, landlord is flexible', 'council tax': 'Ask agent'}</t>
        </is>
      </c>
      <c r="T20" t="n">
        <v>445</v>
      </c>
      <c r="U20" t="n">
        <v>41</v>
      </c>
      <c r="V20" t="b">
        <v>1</v>
      </c>
      <c r="X20" t="n">
        <v>13.45</v>
      </c>
      <c r="Y20" t="n">
        <v>47.9</v>
      </c>
      <c r="Z20">
        <f>IF(AND(ISNUMBER(B20), ISNUMBER(MIN(B$2:B$486)), ISNUMBER(MAX(B$2:B$486))), IF(MAX(B$2:B$486)=MIN(B$2:B$486), 50, ROUND((MAX(B$2:B$486)-B20)/(MAX(B$2:B$486)-MIN(B$2:B$486))*100, 2)), "")</f>
        <v/>
      </c>
      <c r="AA20">
        <f>IF(AND(ISNUMBER(X20), ISNUMBER(MIN(X$2:X$486)), ISNUMBER(MAX(X$2:X$486))), IF(MAX(X$2:X$486)=MIN(X$2:X$486), 50, ROUND((MAX(X$2:X$486)-X20)/(MAX(X$2:X$486)-MIN(X$2:X$486))*100, 2)), "")</f>
        <v/>
      </c>
      <c r="AB20">
        <f>IF(AND(ISNUMBER(U20), ISNUMBER(MIN(U$2:U$486)), ISNUMBER(MAX(U$2:U$486))), IF(MAX(U$2:U$486)=MIN(U$2:U$486), 50, ROUND((U20-MIN(U$2:U$486))/(MAX(U$2:U$486)-MIN(U$2:U$486))*100, 2)), "")</f>
        <v/>
      </c>
      <c r="AC20">
        <f>IF(AND(ISNUMBER(Z20), ISNUMBER(AA20), ISNUMBER(AB20)), ROUND((Z20+AA20+AB20)/3, 2), "")</f>
        <v/>
      </c>
    </row>
    <row r="21">
      <c r="A21" t="n">
        <v>87340101</v>
      </c>
      <c r="B21" t="n">
        <v>1600</v>
      </c>
      <c r="C21" t="inlineStr">
        <is>
          <t>£1,600 pcm</t>
        </is>
      </c>
      <c r="D21" t="inlineStr">
        <is>
          <t>monthly</t>
        </is>
      </c>
      <c r="E21" t="inlineStr">
        <is>
          <t>Apartment</t>
        </is>
      </c>
      <c r="F21" t="n">
        <v>2</v>
      </c>
      <c r="G21" t="n">
        <v>1</v>
      </c>
      <c r="H21" t="inlineStr">
        <is>
          <t>Court Road, London, SE9</t>
        </is>
      </c>
      <c r="I21" t="inlineStr">
        <is>
          <t xml:space="preserve">A recently renovated two bedroom apartment is set within moments' walk to Mottingham station and local amenities </t>
        </is>
      </c>
      <c r="J21" t="inlineStr">
        <is>
          <t>https://www.rightmove.co.uk/properties/87340101#/?channel=RES_LET</t>
        </is>
      </c>
      <c r="K21" t="inlineStr">
        <is>
          <t>/property-to-rent/contactBranch.html?propertyId=87340101</t>
        </is>
      </c>
      <c r="L21" t="inlineStr">
        <is>
          <t>Stelfort, London</t>
        </is>
      </c>
      <c r="M21" t="n">
        <v>67576</v>
      </c>
      <c r="N21" t="inlineStr">
        <is>
          <t>Added today</t>
        </is>
      </c>
      <c r="O21" t="inlineStr">
        <is>
          <t>2025-10-16T13:40:51Z</t>
        </is>
      </c>
      <c r="Q21" t="inlineStr">
        <is>
          <t>SE9</t>
        </is>
      </c>
      <c r="R21" t="inlineStr">
        <is>
          <t>2025-10-16T17:42:11.118450</t>
        </is>
      </c>
      <c r="S21" t="inlineStr">
        <is>
          <t>{'let available date': 'Ask agent', 'deposit': 'Ask agent', 'min. tenancy': 'Ask agent', 'let type': 'Long term', 'furnish type': 'Furnished or unfurnished, landlord is flexible', 'council tax': 'Ask agent'}</t>
        </is>
      </c>
      <c r="V21" t="b">
        <v>1</v>
      </c>
      <c r="X21" t="n">
        <v>22.55</v>
      </c>
      <c r="Y21" t="n">
        <v>51.8</v>
      </c>
      <c r="Z21">
        <f>IF(AND(ISNUMBER(B21), ISNUMBER(MIN(B$2:B$486)), ISNUMBER(MAX(B$2:B$486))), IF(MAX(B$2:B$486)=MIN(B$2:B$486), 50, ROUND((MAX(B$2:B$486)-B21)/(MAX(B$2:B$486)-MIN(B$2:B$486))*100, 2)), "")</f>
        <v/>
      </c>
      <c r="AA21">
        <f>IF(AND(ISNUMBER(X21), ISNUMBER(MIN(X$2:X$486)), ISNUMBER(MAX(X$2:X$486))), IF(MAX(X$2:X$486)=MIN(X$2:X$486), 50, ROUND((MAX(X$2:X$486)-X21)/(MAX(X$2:X$486)-MIN(X$2:X$486))*100, 2)), "")</f>
        <v/>
      </c>
      <c r="AB21">
        <f>IF(AND(ISNUMBER(U21), ISNUMBER(MIN(U$2:U$486)), ISNUMBER(MAX(U$2:U$486))), IF(MAX(U$2:U$486)=MIN(U$2:U$486), 50, ROUND((U21-MIN(U$2:U$486))/(MAX(U$2:U$486)-MIN(U$2:U$486))*100, 2)), "")</f>
        <v/>
      </c>
      <c r="AC21">
        <f>IF(AND(ISNUMBER(Z21), ISNUMBER(AA21), ISNUMBER(AB21)), ROUND((Z21+AA21+AB21)/3, 2), "")</f>
        <v/>
      </c>
    </row>
    <row r="22">
      <c r="A22" t="n">
        <v>167776703</v>
      </c>
      <c r="B22" t="n">
        <v>1550</v>
      </c>
      <c r="C22" t="inlineStr">
        <is>
          <t>£1,550 pcm</t>
        </is>
      </c>
      <c r="D22" t="inlineStr">
        <is>
          <t>monthly</t>
        </is>
      </c>
      <c r="E22" t="inlineStr">
        <is>
          <t>Flat</t>
        </is>
      </c>
      <c r="F22" t="n">
        <v>2</v>
      </c>
      <c r="H22" t="inlineStr">
        <is>
          <t>Church Lane, London, NW9</t>
        </is>
      </c>
      <c r="I22" t="inlineStr">
        <is>
          <t>Located in Barons Court, Church Lane is this bright and spacious two double bedroom flat which is ready to move in to straight away. The property has been redecorated and has new flooring throughout.</t>
        </is>
      </c>
      <c r="J22" t="inlineStr">
        <is>
          <t>https://www.rightmove.co.uk/properties/167776703#/?channel=RES_LET</t>
        </is>
      </c>
      <c r="K22" t="inlineStr">
        <is>
          <t>/property-to-rent/contactBranch.html?propertyId=167776703</t>
        </is>
      </c>
      <c r="L22" t="inlineStr">
        <is>
          <t>David Conway &amp; Co, South Harrow - Sales</t>
        </is>
      </c>
      <c r="M22" t="n">
        <v>6116</v>
      </c>
      <c r="N22" t="inlineStr">
        <is>
          <t>Reduced today</t>
        </is>
      </c>
      <c r="O22" t="inlineStr">
        <is>
          <t>2025-10-03T15:16:52Z</t>
        </is>
      </c>
      <c r="Q22" t="inlineStr">
        <is>
          <t>NW9</t>
        </is>
      </c>
      <c r="R22" t="inlineStr">
        <is>
          <t>2025-10-16T17:42:11.118453</t>
        </is>
      </c>
      <c r="S22" t="inlineStr">
        <is>
          <t>{'let available date': 'Ask agent', 'deposit': 'Ask agent', 'min. tenancy': 'Ask agent', 'let type': 'Long term', 'furnish type': 'Ask agent', 'council tax': 'Ask agent'}</t>
        </is>
      </c>
      <c r="V22" t="b">
        <v>1</v>
      </c>
      <c r="X22" t="n">
        <v>15.5</v>
      </c>
      <c r="Y22" t="n">
        <v>45.8</v>
      </c>
      <c r="Z22">
        <f>IF(AND(ISNUMBER(B22), ISNUMBER(MIN(B$2:B$486)), ISNUMBER(MAX(B$2:B$486))), IF(MAX(B$2:B$486)=MIN(B$2:B$486), 50, ROUND((MAX(B$2:B$486)-B22)/(MAX(B$2:B$486)-MIN(B$2:B$486))*100, 2)), "")</f>
        <v/>
      </c>
      <c r="AA22">
        <f>IF(AND(ISNUMBER(X22), ISNUMBER(MIN(X$2:X$486)), ISNUMBER(MAX(X$2:X$486))), IF(MAX(X$2:X$486)=MIN(X$2:X$486), 50, ROUND((MAX(X$2:X$486)-X22)/(MAX(X$2:X$486)-MIN(X$2:X$486))*100, 2)), "")</f>
        <v/>
      </c>
      <c r="AB22">
        <f>IF(AND(ISNUMBER(U22), ISNUMBER(MIN(U$2:U$486)), ISNUMBER(MAX(U$2:U$486))), IF(MAX(U$2:U$486)=MIN(U$2:U$486), 50, ROUND((U22-MIN(U$2:U$486))/(MAX(U$2:U$486)-MIN(U$2:U$486))*100, 2)), "")</f>
        <v/>
      </c>
      <c r="AC22">
        <f>IF(AND(ISNUMBER(Z22), ISNUMBER(AA22), ISNUMBER(AB22)), ROUND((Z22+AA22+AB22)/3, 2), "")</f>
        <v/>
      </c>
    </row>
    <row r="23">
      <c r="A23" t="n">
        <v>168092063</v>
      </c>
      <c r="B23" t="n">
        <v>1550</v>
      </c>
      <c r="C23" t="inlineStr">
        <is>
          <t>£1,550 pcm</t>
        </is>
      </c>
      <c r="D23" t="inlineStr">
        <is>
          <t>monthly</t>
        </is>
      </c>
      <c r="E23" t="inlineStr">
        <is>
          <t>Flat</t>
        </is>
      </c>
      <c r="F23" t="n">
        <v>2</v>
      </c>
      <c r="H23" t="inlineStr">
        <is>
          <t>Church Lane, London, NW9</t>
        </is>
      </c>
      <c r="I23" t="inlineStr">
        <is>
          <t>**FURTHER PHOTOS TO FOLLOW**Located in Barons Court, Church Lane is this bright and spacious two double bedroom flat which is available in early November. The property in full comprises: welcoming entrance hall, modern kitchen, modern bathroom, spacious lounge with bay, two double bedrooms.</t>
        </is>
      </c>
      <c r="J23" t="inlineStr">
        <is>
          <t>https://www.rightmove.co.uk/properties/168092063#/?channel=RES_LET</t>
        </is>
      </c>
      <c r="K23" t="inlineStr">
        <is>
          <t>/property-to-rent/contactBranch.html?propertyId=168092063</t>
        </is>
      </c>
      <c r="L23" t="inlineStr">
        <is>
          <t>David Conway &amp; Co, South Harrow - Sales</t>
        </is>
      </c>
      <c r="M23" t="n">
        <v>6116</v>
      </c>
      <c r="N23" t="inlineStr">
        <is>
          <t>Reduced today</t>
        </is>
      </c>
      <c r="O23" t="inlineStr">
        <is>
          <t>2025-10-10T15:38:45Z</t>
        </is>
      </c>
      <c r="Q23" t="inlineStr">
        <is>
          <t>NW9</t>
        </is>
      </c>
      <c r="R23" t="inlineStr">
        <is>
          <t>2025-10-16T17:42:11.118455</t>
        </is>
      </c>
      <c r="S23" t="inlineStr">
        <is>
          <t>{'let available date': 'Ask agent', 'deposit': 'Ask agent', 'min. tenancy': 'Ask agent', 'let type': 'Long term', 'furnish type': 'Ask agent', 'council tax': 'Ask agent'}</t>
        </is>
      </c>
      <c r="V23" t="b">
        <v>1</v>
      </c>
      <c r="X23" t="n">
        <v>15.5</v>
      </c>
      <c r="Y23" t="n">
        <v>45.8</v>
      </c>
      <c r="Z23">
        <f>IF(AND(ISNUMBER(B23), ISNUMBER(MIN(B$2:B$486)), ISNUMBER(MAX(B$2:B$486))), IF(MAX(B$2:B$486)=MIN(B$2:B$486), 50, ROUND((MAX(B$2:B$486)-B23)/(MAX(B$2:B$486)-MIN(B$2:B$486))*100, 2)), "")</f>
        <v/>
      </c>
      <c r="AA23">
        <f>IF(AND(ISNUMBER(X23), ISNUMBER(MIN(X$2:X$486)), ISNUMBER(MAX(X$2:X$486))), IF(MAX(X$2:X$486)=MIN(X$2:X$486), 50, ROUND((MAX(X$2:X$486)-X23)/(MAX(X$2:X$486)-MIN(X$2:X$486))*100, 2)), "")</f>
        <v/>
      </c>
      <c r="AB23">
        <f>IF(AND(ISNUMBER(U23), ISNUMBER(MIN(U$2:U$486)), ISNUMBER(MAX(U$2:U$486))), IF(MAX(U$2:U$486)=MIN(U$2:U$486), 50, ROUND((U23-MIN(U$2:U$486))/(MAX(U$2:U$486)-MIN(U$2:U$486))*100, 2)), "")</f>
        <v/>
      </c>
      <c r="AC23">
        <f>IF(AND(ISNUMBER(Z23), ISNUMBER(AA23), ISNUMBER(AB23)), ROUND((Z23+AA23+AB23)/3, 2), "")</f>
        <v/>
      </c>
    </row>
    <row r="24">
      <c r="A24" t="n">
        <v>87340008</v>
      </c>
      <c r="B24" t="n">
        <v>1600</v>
      </c>
      <c r="C24" t="inlineStr">
        <is>
          <t>£1,600 pcm</t>
        </is>
      </c>
      <c r="D24" t="inlineStr">
        <is>
          <t>monthly</t>
        </is>
      </c>
      <c r="E24" t="inlineStr">
        <is>
          <t>Apartment</t>
        </is>
      </c>
      <c r="F24" t="n">
        <v>2</v>
      </c>
      <c r="G24" t="n">
        <v>1</v>
      </c>
      <c r="H24" t="inlineStr">
        <is>
          <t>Court Road, London, SE9</t>
        </is>
      </c>
      <c r="I24" t="inlineStr">
        <is>
          <t xml:space="preserve">A recently renovated two bedroom apartment is set within moments' walk to Mottingham station and local amenities </t>
        </is>
      </c>
      <c r="J24" t="inlineStr">
        <is>
          <t>https://www.rightmove.co.uk/properties/87340008#/?channel=RES_LET</t>
        </is>
      </c>
      <c r="K24" t="inlineStr">
        <is>
          <t>/property-to-rent/contactBranch.html?propertyId=87340008</t>
        </is>
      </c>
      <c r="L24" t="inlineStr">
        <is>
          <t>Stelfort, London</t>
        </is>
      </c>
      <c r="M24" t="n">
        <v>67576</v>
      </c>
      <c r="N24" t="inlineStr">
        <is>
          <t>Added today</t>
        </is>
      </c>
      <c r="O24" t="inlineStr">
        <is>
          <t>2025-10-16T13:39:32Z</t>
        </is>
      </c>
      <c r="Q24" t="inlineStr">
        <is>
          <t>SE9</t>
        </is>
      </c>
      <c r="R24" t="inlineStr">
        <is>
          <t>2025-10-16T17:42:11.118458</t>
        </is>
      </c>
      <c r="S24" t="inlineStr">
        <is>
          <t>{'let available date': 'Ask agent', 'deposit': 'Ask agent', 'min. tenancy': 'Ask agent', 'let type': 'Long term', 'furnish type': 'Furnished or unfurnished, landlord is flexible', 'council tax': 'Ask agent'}</t>
        </is>
      </c>
      <c r="V24" t="b">
        <v>1</v>
      </c>
      <c r="X24" t="n">
        <v>24.2</v>
      </c>
      <c r="Y24" t="n">
        <v>56.2</v>
      </c>
      <c r="Z24">
        <f>IF(AND(ISNUMBER(B24), ISNUMBER(MIN(B$2:B$486)), ISNUMBER(MAX(B$2:B$486))), IF(MAX(B$2:B$486)=MIN(B$2:B$486), 50, ROUND((MAX(B$2:B$486)-B24)/(MAX(B$2:B$486)-MIN(B$2:B$486))*100, 2)), "")</f>
        <v/>
      </c>
      <c r="AA24">
        <f>IF(AND(ISNUMBER(X24), ISNUMBER(MIN(X$2:X$486)), ISNUMBER(MAX(X$2:X$486))), IF(MAX(X$2:X$486)=MIN(X$2:X$486), 50, ROUND((MAX(X$2:X$486)-X24)/(MAX(X$2:X$486)-MIN(X$2:X$486))*100, 2)), "")</f>
        <v/>
      </c>
      <c r="AB24">
        <f>IF(AND(ISNUMBER(U24), ISNUMBER(MIN(U$2:U$486)), ISNUMBER(MAX(U$2:U$486))), IF(MAX(U$2:U$486)=MIN(U$2:U$486), 50, ROUND((U24-MIN(U$2:U$486))/(MAX(U$2:U$486)-MIN(U$2:U$486))*100, 2)), "")</f>
        <v/>
      </c>
      <c r="AC24">
        <f>IF(AND(ISNUMBER(Z24), ISNUMBER(AA24), ISNUMBER(AB24)), ROUND((Z24+AA24+AB24)/3, 2), "")</f>
        <v/>
      </c>
    </row>
    <row r="25">
      <c r="A25" t="n">
        <v>166003400</v>
      </c>
      <c r="B25" t="n">
        <v>1700</v>
      </c>
      <c r="C25" t="inlineStr">
        <is>
          <t>£1,700 pcm</t>
        </is>
      </c>
      <c r="D25" t="inlineStr">
        <is>
          <t>monthly</t>
        </is>
      </c>
      <c r="E25" t="inlineStr">
        <is>
          <t>Apartment</t>
        </is>
      </c>
      <c r="F25" t="n">
        <v>2</v>
      </c>
      <c r="G25" t="n">
        <v>1</v>
      </c>
      <c r="H25" t="inlineStr">
        <is>
          <t>Forest Gardens, Tottenham, London, N17</t>
        </is>
      </c>
      <c r="I25" t="inlineStr">
        <is>
          <t>NO DEPOSIT OPTION AVAILABLE. Offered in excellent condition with modern bathroom and kitchen. This modern 2 bedroom property would make an ideal home! It is ideally located for amenities and minutes' to Bruce Grove Overground Station.</t>
        </is>
      </c>
      <c r="J25" t="inlineStr">
        <is>
          <t>https://www.rightmove.co.uk/properties/166003400#/?channel=RES_LET</t>
        </is>
      </c>
      <c r="K25" t="inlineStr">
        <is>
          <t>/property-to-rent/contactBranch.html?propertyId=166003400</t>
        </is>
      </c>
      <c r="L25" t="inlineStr">
        <is>
          <t>Martyn Gerrard, Crouch End</t>
        </is>
      </c>
      <c r="M25" t="n">
        <v>13099</v>
      </c>
      <c r="N25" t="inlineStr">
        <is>
          <t>Reduced today</t>
        </is>
      </c>
      <c r="O25" t="inlineStr">
        <is>
          <t>2025-08-20T12:08:36Z</t>
        </is>
      </c>
      <c r="Q25" t="inlineStr">
        <is>
          <t>N17</t>
        </is>
      </c>
      <c r="R25" t="inlineStr">
        <is>
          <t>2025-10-16T17:42:11.118460</t>
        </is>
      </c>
      <c r="S25" t="inlineStr">
        <is>
          <t>{'let available date': 'Now', 'deposit': '£1,961', 'min. tenancy': '12 months', 'let type': 'Long term', 'furnish type': 'Furnished', 'council tax': 'Ask agent'}</t>
        </is>
      </c>
      <c r="T25" t="n">
        <v>334</v>
      </c>
      <c r="U25" t="n">
        <v>31</v>
      </c>
      <c r="V25" t="b">
        <v>1</v>
      </c>
      <c r="X25" t="n">
        <v>13.06</v>
      </c>
      <c r="Y25" t="n">
        <v>48</v>
      </c>
      <c r="Z25">
        <f>IF(AND(ISNUMBER(B25), ISNUMBER(MIN(B$2:B$486)), ISNUMBER(MAX(B$2:B$486))), IF(MAX(B$2:B$486)=MIN(B$2:B$486), 50, ROUND((MAX(B$2:B$486)-B25)/(MAX(B$2:B$486)-MIN(B$2:B$486))*100, 2)), "")</f>
        <v/>
      </c>
      <c r="AA25">
        <f>IF(AND(ISNUMBER(X25), ISNUMBER(MIN(X$2:X$486)), ISNUMBER(MAX(X$2:X$486))), IF(MAX(X$2:X$486)=MIN(X$2:X$486), 50, ROUND((MAX(X$2:X$486)-X25)/(MAX(X$2:X$486)-MIN(X$2:X$486))*100, 2)), "")</f>
        <v/>
      </c>
      <c r="AB25">
        <f>IF(AND(ISNUMBER(U25), ISNUMBER(MIN(U$2:U$486)), ISNUMBER(MAX(U$2:U$486))), IF(MAX(U$2:U$486)=MIN(U$2:U$486), 50, ROUND((U25-MIN(U$2:U$486))/(MAX(U$2:U$486)-MIN(U$2:U$486))*100, 2)), "")</f>
        <v/>
      </c>
      <c r="AC25">
        <f>IF(AND(ISNUMBER(Z25), ISNUMBER(AA25), ISNUMBER(AB25)), ROUND((Z25+AA25+AB25)/3, 2), "")</f>
        <v/>
      </c>
    </row>
    <row r="26">
      <c r="A26" t="n">
        <v>168261308</v>
      </c>
      <c r="B26" t="n">
        <v>1700</v>
      </c>
      <c r="C26" t="inlineStr">
        <is>
          <t>£1,700 pcm</t>
        </is>
      </c>
      <c r="D26" t="inlineStr">
        <is>
          <t>monthly</t>
        </is>
      </c>
      <c r="E26" t="inlineStr">
        <is>
          <t>Apartment</t>
        </is>
      </c>
      <c r="F26" t="n">
        <v>2</v>
      </c>
      <c r="G26" t="n">
        <v>1</v>
      </c>
      <c r="H26" t="inlineStr">
        <is>
          <t>Mottingham Road, London SE9</t>
        </is>
      </c>
      <c r="I26" t="inlineStr">
        <is>
          <t>A stunning brand new 2 bedroom apartment is set within moments' walk to Mottingham station and local amenities</t>
        </is>
      </c>
      <c r="J26" t="inlineStr">
        <is>
          <t>https://www.rightmove.co.uk/properties/168261308#/?channel=RES_LET</t>
        </is>
      </c>
      <c r="K26" t="inlineStr">
        <is>
          <t>/property-to-rent/contactBranch.html?propertyId=168261308</t>
        </is>
      </c>
      <c r="L26" t="inlineStr">
        <is>
          <t>Stelfort, London</t>
        </is>
      </c>
      <c r="M26" t="n">
        <v>67576</v>
      </c>
      <c r="N26" t="inlineStr">
        <is>
          <t>Added today</t>
        </is>
      </c>
      <c r="O26" t="inlineStr">
        <is>
          <t>2025-10-16T13:22:13Z</t>
        </is>
      </c>
      <c r="Q26" t="inlineStr">
        <is>
          <t>SE9</t>
        </is>
      </c>
      <c r="R26" t="inlineStr">
        <is>
          <t>2025-10-16T17:42:11.118463</t>
        </is>
      </c>
      <c r="S26" t="inlineStr">
        <is>
          <t>{'let available date': 'Ask agent', 'deposit': 'Ask agent', 'min. tenancy': 'Ask agent', 'let type': 'Long term', 'furnish type': 'Furnished or unfurnished, landlord is flexible', 'council tax': 'Ask agent'}</t>
        </is>
      </c>
      <c r="V26" t="b">
        <v>1</v>
      </c>
      <c r="X26" t="n">
        <v>22.55</v>
      </c>
      <c r="Y26" t="n">
        <v>51.8</v>
      </c>
      <c r="Z26">
        <f>IF(AND(ISNUMBER(B26), ISNUMBER(MIN(B$2:B$486)), ISNUMBER(MAX(B$2:B$486))), IF(MAX(B$2:B$486)=MIN(B$2:B$486), 50, ROUND((MAX(B$2:B$486)-B26)/(MAX(B$2:B$486)-MIN(B$2:B$486))*100, 2)), "")</f>
        <v/>
      </c>
      <c r="AA26">
        <f>IF(AND(ISNUMBER(X26), ISNUMBER(MIN(X$2:X$486)), ISNUMBER(MAX(X$2:X$486))), IF(MAX(X$2:X$486)=MIN(X$2:X$486), 50, ROUND((MAX(X$2:X$486)-X26)/(MAX(X$2:X$486)-MIN(X$2:X$486))*100, 2)), "")</f>
        <v/>
      </c>
      <c r="AB26">
        <f>IF(AND(ISNUMBER(U26), ISNUMBER(MIN(U$2:U$486)), ISNUMBER(MAX(U$2:U$486))), IF(MAX(U$2:U$486)=MIN(U$2:U$486), 50, ROUND((U26-MIN(U$2:U$486))/(MAX(U$2:U$486)-MIN(U$2:U$486))*100, 2)), "")</f>
        <v/>
      </c>
      <c r="AC26">
        <f>IF(AND(ISNUMBER(Z26), ISNUMBER(AA26), ISNUMBER(AB26)), ROUND((Z26+AA26+AB26)/3, 2), "")</f>
        <v/>
      </c>
    </row>
    <row r="27">
      <c r="A27" t="n">
        <v>168138425</v>
      </c>
      <c r="B27" t="n">
        <v>1700</v>
      </c>
      <c r="C27" t="inlineStr">
        <is>
          <t>£1,700 pcm</t>
        </is>
      </c>
      <c r="D27" t="inlineStr">
        <is>
          <t>monthly</t>
        </is>
      </c>
      <c r="E27" t="inlineStr">
        <is>
          <t>Flat</t>
        </is>
      </c>
      <c r="F27" t="n">
        <v>2</v>
      </c>
      <c r="G27" t="n">
        <v>1</v>
      </c>
      <c r="H27" t="inlineStr">
        <is>
          <t>Brownhill Road, Catford, London, SE6</t>
        </is>
      </c>
      <c r="I27" t="inlineStr">
        <is>
          <t>Nestled on the charming Brownhill Road in Catford, SE6, this delightful ground floor Victorian conversion flat offers a perfect blend of modern living and classic elegance. With two spacious double bedrooms, this property is ideal for couples, small families, or those seeking a comfortable space ...</t>
        </is>
      </c>
      <c r="J27" t="inlineStr">
        <is>
          <t>https://www.rightmove.co.uk/properties/168138425#/?channel=RES_LET</t>
        </is>
      </c>
      <c r="K27" t="inlineStr">
        <is>
          <t>/property-to-rent/contactBranch.html?propertyId=168138425</t>
        </is>
      </c>
      <c r="L27" t="inlineStr">
        <is>
          <t>Galloways, Penge</t>
        </is>
      </c>
      <c r="M27" t="n">
        <v>151376</v>
      </c>
      <c r="N27" t="inlineStr">
        <is>
          <t>Added on 13/10/2025</t>
        </is>
      </c>
      <c r="O27" t="inlineStr">
        <is>
          <t>2025-10-13T09:55:16Z</t>
        </is>
      </c>
      <c r="Q27" t="inlineStr">
        <is>
          <t>SE6</t>
        </is>
      </c>
      <c r="R27" t="inlineStr">
        <is>
          <t>2025-10-16T17:42:12.600659</t>
        </is>
      </c>
      <c r="S27" t="inlineStr">
        <is>
          <t>{'let available date': '31/10/2025', 'deposit': '£1,961', 'min. tenancy': 'Ask agent', 'let type': 'Long term', 'furnish type': 'Unfurnished', 'council tax': 'Ask agent'}</t>
        </is>
      </c>
      <c r="T27" t="n">
        <v>608</v>
      </c>
      <c r="U27" t="n">
        <v>56</v>
      </c>
      <c r="V27" t="b">
        <v>1</v>
      </c>
      <c r="X27" t="n">
        <v>14.74</v>
      </c>
      <c r="Y27" t="n">
        <v>50.4</v>
      </c>
      <c r="Z27">
        <f>IF(AND(ISNUMBER(B27), ISNUMBER(MIN(B$2:B$486)), ISNUMBER(MAX(B$2:B$486))), IF(MAX(B$2:B$486)=MIN(B$2:B$486), 50, ROUND((MAX(B$2:B$486)-B27)/(MAX(B$2:B$486)-MIN(B$2:B$486))*100, 2)), "")</f>
        <v/>
      </c>
      <c r="AA27">
        <f>IF(AND(ISNUMBER(X27), ISNUMBER(MIN(X$2:X$486)), ISNUMBER(MAX(X$2:X$486))), IF(MAX(X$2:X$486)=MIN(X$2:X$486), 50, ROUND((MAX(X$2:X$486)-X27)/(MAX(X$2:X$486)-MIN(X$2:X$486))*100, 2)), "")</f>
        <v/>
      </c>
      <c r="AB27">
        <f>IF(AND(ISNUMBER(U27), ISNUMBER(MIN(U$2:U$486)), ISNUMBER(MAX(U$2:U$486))), IF(MAX(U$2:U$486)=MIN(U$2:U$486), 50, ROUND((U27-MIN(U$2:U$486))/(MAX(U$2:U$486)-MIN(U$2:U$486))*100, 2)), "")</f>
        <v/>
      </c>
      <c r="AC27">
        <f>IF(AND(ISNUMBER(Z27), ISNUMBER(AA27), ISNUMBER(AB27)), ROUND((Z27+AA27+AB27)/3, 2), "")</f>
        <v/>
      </c>
    </row>
    <row r="28">
      <c r="A28" t="n">
        <v>168261191</v>
      </c>
      <c r="B28" t="n">
        <v>1700</v>
      </c>
      <c r="C28" t="inlineStr">
        <is>
          <t>£1,700 pcm</t>
        </is>
      </c>
      <c r="D28" t="inlineStr">
        <is>
          <t>monthly</t>
        </is>
      </c>
      <c r="E28" t="inlineStr">
        <is>
          <t>Apartment</t>
        </is>
      </c>
      <c r="F28" t="n">
        <v>2</v>
      </c>
      <c r="G28" t="n">
        <v>1</v>
      </c>
      <c r="H28" t="inlineStr">
        <is>
          <t>Mottingham Road, London SE9</t>
        </is>
      </c>
      <c r="I28" t="inlineStr">
        <is>
          <t>A stunning brand new 2 bedroom apartment is set within moments' walk to Mottingham station and local amenities</t>
        </is>
      </c>
      <c r="J28" t="inlineStr">
        <is>
          <t>https://www.rightmove.co.uk/properties/168261191#/?channel=RES_LET</t>
        </is>
      </c>
      <c r="K28" t="inlineStr">
        <is>
          <t>/property-to-rent/contactBranch.html?propertyId=168261191</t>
        </is>
      </c>
      <c r="L28" t="inlineStr">
        <is>
          <t>Stelfort, London</t>
        </is>
      </c>
      <c r="M28" t="n">
        <v>67576</v>
      </c>
      <c r="N28" t="inlineStr">
        <is>
          <t>Added today</t>
        </is>
      </c>
      <c r="O28" t="inlineStr">
        <is>
          <t>2025-10-16T13:20:48Z</t>
        </is>
      </c>
      <c r="Q28" t="inlineStr">
        <is>
          <t>SE9</t>
        </is>
      </c>
      <c r="R28" t="inlineStr">
        <is>
          <t>2025-10-16T17:42:12.600684</t>
        </is>
      </c>
      <c r="S28" t="inlineStr">
        <is>
          <t>{'let available date': 'Ask agent', 'deposit': 'Ask agent', 'min. tenancy': 'Ask agent', 'let type': 'Long term', 'furnish type': 'Furnished or unfurnished, landlord is flexible', 'council tax': 'Ask agent'}</t>
        </is>
      </c>
      <c r="V28" t="b">
        <v>1</v>
      </c>
      <c r="X28" t="n">
        <v>24.2</v>
      </c>
      <c r="Y28" t="n">
        <v>56.1</v>
      </c>
      <c r="Z28">
        <f>IF(AND(ISNUMBER(B28), ISNUMBER(MIN(B$2:B$486)), ISNUMBER(MAX(B$2:B$486))), IF(MAX(B$2:B$486)=MIN(B$2:B$486), 50, ROUND((MAX(B$2:B$486)-B28)/(MAX(B$2:B$486)-MIN(B$2:B$486))*100, 2)), "")</f>
        <v/>
      </c>
      <c r="AA28">
        <f>IF(AND(ISNUMBER(X28), ISNUMBER(MIN(X$2:X$486)), ISNUMBER(MAX(X$2:X$486))), IF(MAX(X$2:X$486)=MIN(X$2:X$486), 50, ROUND((MAX(X$2:X$486)-X28)/(MAX(X$2:X$486)-MIN(X$2:X$486))*100, 2)), "")</f>
        <v/>
      </c>
      <c r="AB28">
        <f>IF(AND(ISNUMBER(U28), ISNUMBER(MIN(U$2:U$486)), ISNUMBER(MAX(U$2:U$486))), IF(MAX(U$2:U$486)=MIN(U$2:U$486), 50, ROUND((U28-MIN(U$2:U$486))/(MAX(U$2:U$486)-MIN(U$2:U$486))*100, 2)), "")</f>
        <v/>
      </c>
      <c r="AC28">
        <f>IF(AND(ISNUMBER(Z28), ISNUMBER(AA28), ISNUMBER(AB28)), ROUND((Z28+AA28+AB28)/3, 2), "")</f>
        <v/>
      </c>
    </row>
    <row r="29">
      <c r="A29" t="n">
        <v>168258026</v>
      </c>
      <c r="B29" t="n">
        <v>1600</v>
      </c>
      <c r="C29" t="inlineStr">
        <is>
          <t>£1,600 pcm</t>
        </is>
      </c>
      <c r="D29" t="inlineStr">
        <is>
          <t>monthly</t>
        </is>
      </c>
      <c r="E29" t="inlineStr">
        <is>
          <t>Flat</t>
        </is>
      </c>
      <c r="F29" t="n">
        <v>2</v>
      </c>
      <c r="G29" t="n">
        <v>1</v>
      </c>
      <c r="H29" t="inlineStr">
        <is>
          <t>Eglinton Hill, London, SE18</t>
        </is>
      </c>
      <c r="I29" t="inlineStr">
        <is>
          <t>Stylish 2-Bedroom Flat in SE18 Discover this beautifully maintained two-bedroom flat, perfectly situated in a popular part of SE18. Combining modern interiors with warm, characterful touches, it o... ** Property Reference: 2620166 **</t>
        </is>
      </c>
      <c r="J29" t="inlineStr">
        <is>
          <t>https://www.rightmove.co.uk/properties/168258026#/?channel=RES_LET</t>
        </is>
      </c>
      <c r="K29" t="inlineStr">
        <is>
          <t>/property-to-rent/contactBranch.html?propertyId=168258026</t>
        </is>
      </c>
      <c r="L29" t="inlineStr">
        <is>
          <t>OpenRent, London</t>
        </is>
      </c>
      <c r="M29" t="n">
        <v>96668</v>
      </c>
      <c r="N29" t="inlineStr">
        <is>
          <t>Reduced today</t>
        </is>
      </c>
      <c r="O29" t="inlineStr">
        <is>
          <t>2025-10-16T12:45:39Z</t>
        </is>
      </c>
      <c r="Q29" t="inlineStr">
        <is>
          <t>SE18</t>
        </is>
      </c>
      <c r="R29" t="inlineStr">
        <is>
          <t>2025-10-16T17:42:12.600689</t>
        </is>
      </c>
      <c r="S29" t="inlineStr">
        <is>
          <t>{'let available date': 'Now', 'deposit': '£1,846', 'min. tenancy': 'Ask agent', 'let type': 'Long term', 'furnish type': 'Furnished', 'council tax': 'Ask agent'}</t>
        </is>
      </c>
      <c r="V29" t="b">
        <v>1</v>
      </c>
      <c r="X29" t="n">
        <v>20.83</v>
      </c>
      <c r="Y29" t="n">
        <v>51.8</v>
      </c>
      <c r="Z29">
        <f>IF(AND(ISNUMBER(B29), ISNUMBER(MIN(B$2:B$486)), ISNUMBER(MAX(B$2:B$486))), IF(MAX(B$2:B$486)=MIN(B$2:B$486), 50, ROUND((MAX(B$2:B$486)-B29)/(MAX(B$2:B$486)-MIN(B$2:B$486))*100, 2)), "")</f>
        <v/>
      </c>
      <c r="AA29">
        <f>IF(AND(ISNUMBER(X29), ISNUMBER(MIN(X$2:X$486)), ISNUMBER(MAX(X$2:X$486))), IF(MAX(X$2:X$486)=MIN(X$2:X$486), 50, ROUND((MAX(X$2:X$486)-X29)/(MAX(X$2:X$486)-MIN(X$2:X$486))*100, 2)), "")</f>
        <v/>
      </c>
      <c r="AB29">
        <f>IF(AND(ISNUMBER(U29), ISNUMBER(MIN(U$2:U$486)), ISNUMBER(MAX(U$2:U$486))), IF(MAX(U$2:U$486)=MIN(U$2:U$486), 50, ROUND((U29-MIN(U$2:U$486))/(MAX(U$2:U$486)-MIN(U$2:U$486))*100, 2)), "")</f>
        <v/>
      </c>
      <c r="AC29">
        <f>IF(AND(ISNUMBER(Z29), ISNUMBER(AA29), ISNUMBER(AB29)), ROUND((Z29+AA29+AB29)/3, 2), "")</f>
        <v/>
      </c>
    </row>
    <row r="30">
      <c r="A30" t="n">
        <v>167267807</v>
      </c>
      <c r="B30" t="n">
        <v>1750</v>
      </c>
      <c r="C30" t="inlineStr">
        <is>
          <t>£1,750 pcm</t>
        </is>
      </c>
      <c r="D30" t="inlineStr">
        <is>
          <t>monthly</t>
        </is>
      </c>
      <c r="E30" t="inlineStr">
        <is>
          <t>Flat</t>
        </is>
      </c>
      <c r="F30" t="n">
        <v>2</v>
      </c>
      <c r="G30" t="n">
        <v>1</v>
      </c>
      <c r="H30" t="inlineStr">
        <is>
          <t>Portsdown Avenue, London</t>
        </is>
      </c>
      <c r="I30" t="inlineStr">
        <is>
          <t>A period conversion, two bedroom apartment in the heart of Golders Green, with a spacious living room with dining area, double bedrooms, separate kitchen, and a modern bathroom/WC.</t>
        </is>
      </c>
      <c r="J30" t="inlineStr">
        <is>
          <t>https://www.rightmove.co.uk/properties/167267807#/?channel=RES_LET</t>
        </is>
      </c>
      <c r="K30" t="inlineStr">
        <is>
          <t>/property-to-rent/contactBranch.html?propertyId=167267807</t>
        </is>
      </c>
      <c r="L30" t="inlineStr">
        <is>
          <t>Dexters, Hendon</t>
        </is>
      </c>
      <c r="M30" t="n">
        <v>44870</v>
      </c>
      <c r="N30" t="inlineStr">
        <is>
          <t>Reduced today</t>
        </is>
      </c>
      <c r="O30" t="inlineStr">
        <is>
          <t>2025-09-22T14:41:31Z</t>
        </is>
      </c>
      <c r="R30" t="inlineStr">
        <is>
          <t>2025-10-16T17:42:12.600693</t>
        </is>
      </c>
      <c r="S30" t="inlineStr">
        <is>
          <t>{'let available date': 'Ask agent', 'deposit': '£2,192', 'min. tenancy': 'Ask agent', 'let type': 'Long term', 'furnish type': 'Furnished', 'council tax': 'Ask agent'}</t>
        </is>
      </c>
      <c r="V30" t="b">
        <v>1</v>
      </c>
      <c r="X30" t="n">
        <v>10.96</v>
      </c>
      <c r="Y30" t="n">
        <v>40</v>
      </c>
      <c r="Z30">
        <f>IF(AND(ISNUMBER(B30), ISNUMBER(MIN(B$2:B$486)), ISNUMBER(MAX(B$2:B$486))), IF(MAX(B$2:B$486)=MIN(B$2:B$486), 50, ROUND((MAX(B$2:B$486)-B30)/(MAX(B$2:B$486)-MIN(B$2:B$486))*100, 2)), "")</f>
        <v/>
      </c>
      <c r="AA30">
        <f>IF(AND(ISNUMBER(X30), ISNUMBER(MIN(X$2:X$486)), ISNUMBER(MAX(X$2:X$486))), IF(MAX(X$2:X$486)=MIN(X$2:X$486), 50, ROUND((MAX(X$2:X$486)-X30)/(MAX(X$2:X$486)-MIN(X$2:X$486))*100, 2)), "")</f>
        <v/>
      </c>
      <c r="AB30">
        <f>IF(AND(ISNUMBER(U30), ISNUMBER(MIN(U$2:U$486)), ISNUMBER(MAX(U$2:U$486))), IF(MAX(U$2:U$486)=MIN(U$2:U$486), 50, ROUND((U30-MIN(U$2:U$486))/(MAX(U$2:U$486)-MIN(U$2:U$486))*100, 2)), "")</f>
        <v/>
      </c>
      <c r="AC30">
        <f>IF(AND(ISNUMBER(Z30), ISNUMBER(AA30), ISNUMBER(AB30)), ROUND((Z30+AA30+AB30)/3, 2), "")</f>
        <v/>
      </c>
    </row>
    <row r="31">
      <c r="A31" t="n">
        <v>140314412</v>
      </c>
      <c r="B31" t="n">
        <v>1650</v>
      </c>
      <c r="C31" t="inlineStr">
        <is>
          <t>£1,650 pcm</t>
        </is>
      </c>
      <c r="D31" t="inlineStr">
        <is>
          <t>monthly</t>
        </is>
      </c>
      <c r="E31" t="inlineStr">
        <is>
          <t>Flat</t>
        </is>
      </c>
      <c r="F31" t="n">
        <v>2</v>
      </c>
      <c r="G31" t="n">
        <v>1</v>
      </c>
      <c r="H31" t="inlineStr">
        <is>
          <t>Lower Road, Sutton</t>
        </is>
      </c>
      <c r="I31" t="inlineStr">
        <is>
          <t>**NO DEPOSIT OPTION AVAILABLE** Looking for stylish, comfortable living in a prime location? This beautifully presented 2 bedroom flat in the heart of Sutton could be your perfect match</t>
        </is>
      </c>
      <c r="J31" t="inlineStr">
        <is>
          <t>https://www.rightmove.co.uk/properties/140314412#/?channel=RES_LET</t>
        </is>
      </c>
      <c r="K31" t="inlineStr">
        <is>
          <t>/property-to-rent/contactBranch.html?propertyId=140314412</t>
        </is>
      </c>
      <c r="L31" t="inlineStr">
        <is>
          <t>haart, Sutton - Lettings</t>
        </is>
      </c>
      <c r="M31" t="n">
        <v>11523</v>
      </c>
      <c r="N31" t="inlineStr">
        <is>
          <t>Reduced today</t>
        </is>
      </c>
      <c r="O31" t="inlineStr">
        <is>
          <t>2023-09-22T13:22:41Z</t>
        </is>
      </c>
      <c r="R31" t="inlineStr">
        <is>
          <t>2025-10-16T17:42:12.600696</t>
        </is>
      </c>
      <c r="S31" t="inlineStr">
        <is>
          <t>{'let available date': '27/10/2025', 'deposit': '£1,903', 'min. tenancy': 'Ask agent', 'let type': 'Long term', 'furnish type': 'Unfurnished', 'council tax': 'Ask agent'}</t>
        </is>
      </c>
      <c r="V31" t="b">
        <v>1</v>
      </c>
      <c r="X31" t="n">
        <v>21.35</v>
      </c>
      <c r="Y31" t="n">
        <v>62.6</v>
      </c>
      <c r="Z31">
        <f>IF(AND(ISNUMBER(B31), ISNUMBER(MIN(B$2:B$486)), ISNUMBER(MAX(B$2:B$486))), IF(MAX(B$2:B$486)=MIN(B$2:B$486), 50, ROUND((MAX(B$2:B$486)-B31)/(MAX(B$2:B$486)-MIN(B$2:B$486))*100, 2)), "")</f>
        <v/>
      </c>
      <c r="AA31">
        <f>IF(AND(ISNUMBER(X31), ISNUMBER(MIN(X$2:X$486)), ISNUMBER(MAX(X$2:X$486))), IF(MAX(X$2:X$486)=MIN(X$2:X$486), 50, ROUND((MAX(X$2:X$486)-X31)/(MAX(X$2:X$486)-MIN(X$2:X$486))*100, 2)), "")</f>
        <v/>
      </c>
      <c r="AB31">
        <f>IF(AND(ISNUMBER(U31), ISNUMBER(MIN(U$2:U$486)), ISNUMBER(MAX(U$2:U$486))), IF(MAX(U$2:U$486)=MIN(U$2:U$486), 50, ROUND((U31-MIN(U$2:U$486))/(MAX(U$2:U$486)-MIN(U$2:U$486))*100, 2)), "")</f>
        <v/>
      </c>
      <c r="AC31">
        <f>IF(AND(ISNUMBER(Z31), ISNUMBER(AA31), ISNUMBER(AB31)), ROUND((Z31+AA31+AB31)/3, 2), "")</f>
        <v/>
      </c>
    </row>
    <row r="32">
      <c r="A32" t="n">
        <v>168253733</v>
      </c>
      <c r="B32" t="n">
        <v>1550</v>
      </c>
      <c r="C32" t="inlineStr">
        <is>
          <t>£1,550 pcm</t>
        </is>
      </c>
      <c r="D32" t="inlineStr">
        <is>
          <t>monthly</t>
        </is>
      </c>
      <c r="E32" t="inlineStr">
        <is>
          <t>Flat</t>
        </is>
      </c>
      <c r="F32" t="n">
        <v>2</v>
      </c>
      <c r="G32" t="n">
        <v>1</v>
      </c>
      <c r="H32" t="inlineStr">
        <is>
          <t>Charlton Church Lane, London, SE7</t>
        </is>
      </c>
      <c r="I32" t="inlineStr">
        <is>
          <t>Nice double two bedroom flat- Large living room- two double bedrooms- Furnished/unfurnished- 1 min walk to Charlton Station- Nearby shops- Working references required- No Bills Included</t>
        </is>
      </c>
      <c r="J32" t="inlineStr">
        <is>
          <t>https://www.rightmove.co.uk/properties/168253733#/?channel=RES_LET</t>
        </is>
      </c>
      <c r="K32" t="inlineStr">
        <is>
          <t>/property-to-rent/contactBranch.html?propertyId=168253733</t>
        </is>
      </c>
      <c r="L32" t="inlineStr">
        <is>
          <t>Live London Estates, Golders Green</t>
        </is>
      </c>
      <c r="M32" t="n">
        <v>141884</v>
      </c>
      <c r="N32" t="inlineStr">
        <is>
          <t>Added today</t>
        </is>
      </c>
      <c r="O32" t="inlineStr">
        <is>
          <t>2025-10-16T11:58:05Z</t>
        </is>
      </c>
      <c r="Q32" t="inlineStr">
        <is>
          <t>SE7</t>
        </is>
      </c>
      <c r="R32" t="inlineStr">
        <is>
          <t>2025-10-16T17:42:12.600700</t>
        </is>
      </c>
      <c r="S32" t="inlineStr">
        <is>
          <t>{'let available date': 'Ask agent', 'deposit': 'Ask agent', 'min. tenancy': 'Ask agent', 'let type': 'Long term', 'furnish type': 'Furnished or unfurnished, landlord is flexible', 'council tax': 'Ask agent'}</t>
        </is>
      </c>
      <c r="V32" t="b">
        <v>1</v>
      </c>
      <c r="X32" t="n">
        <v>17.1</v>
      </c>
      <c r="Y32" t="n">
        <v>47.3</v>
      </c>
      <c r="Z32">
        <f>IF(AND(ISNUMBER(B32), ISNUMBER(MIN(B$2:B$486)), ISNUMBER(MAX(B$2:B$486))), IF(MAX(B$2:B$486)=MIN(B$2:B$486), 50, ROUND((MAX(B$2:B$486)-B32)/(MAX(B$2:B$486)-MIN(B$2:B$486))*100, 2)), "")</f>
        <v/>
      </c>
      <c r="AA32">
        <f>IF(AND(ISNUMBER(X32), ISNUMBER(MIN(X$2:X$486)), ISNUMBER(MAX(X$2:X$486))), IF(MAX(X$2:X$486)=MIN(X$2:X$486), 50, ROUND((MAX(X$2:X$486)-X32)/(MAX(X$2:X$486)-MIN(X$2:X$486))*100, 2)), "")</f>
        <v/>
      </c>
      <c r="AB32">
        <f>IF(AND(ISNUMBER(U32), ISNUMBER(MIN(U$2:U$486)), ISNUMBER(MAX(U$2:U$486))), IF(MAX(U$2:U$486)=MIN(U$2:U$486), 50, ROUND((U32-MIN(U$2:U$486))/(MAX(U$2:U$486)-MIN(U$2:U$486))*100, 2)), "")</f>
        <v/>
      </c>
      <c r="AC32">
        <f>IF(AND(ISNUMBER(Z32), ISNUMBER(AA32), ISNUMBER(AB32)), ROUND((Z32+AA32+AB32)/3, 2), "")</f>
        <v/>
      </c>
    </row>
    <row r="33">
      <c r="A33" t="n">
        <v>167813255</v>
      </c>
      <c r="B33" t="n">
        <v>1550</v>
      </c>
      <c r="C33" t="inlineStr">
        <is>
          <t>£1,550 pcm</t>
        </is>
      </c>
      <c r="D33" t="inlineStr">
        <is>
          <t>monthly</t>
        </is>
      </c>
      <c r="E33" t="inlineStr">
        <is>
          <t>Apartment</t>
        </is>
      </c>
      <c r="F33" t="n">
        <v>2</v>
      </c>
      <c r="G33" t="n">
        <v>1</v>
      </c>
      <c r="H33" t="inlineStr">
        <is>
          <t>Eaton Road Sutton SM2</t>
        </is>
      </c>
      <c r="I33" t="inlineStr">
        <is>
          <t>OPEN DAY: Two bedroom apartment within walking distance of Sutton High Station, this apartment can be offered furnished or unfurnished.</t>
        </is>
      </c>
      <c r="J33" t="inlineStr">
        <is>
          <t>https://www.rightmove.co.uk/properties/167813255#/?channel=RES_LET</t>
        </is>
      </c>
      <c r="K33" t="inlineStr">
        <is>
          <t>/property-to-rent/contactBranch.html?propertyId=167813255</t>
        </is>
      </c>
      <c r="L33" t="inlineStr">
        <is>
          <t>Cubitt &amp; West Residential Lettings, Sutton</t>
        </is>
      </c>
      <c r="M33" t="n">
        <v>82928</v>
      </c>
      <c r="N33" t="inlineStr">
        <is>
          <t>Reduced today</t>
        </is>
      </c>
      <c r="O33" t="inlineStr">
        <is>
          <t>2025-10-04T16:08:57Z</t>
        </is>
      </c>
      <c r="Q33" t="inlineStr">
        <is>
          <t>SM2</t>
        </is>
      </c>
      <c r="R33" t="inlineStr">
        <is>
          <t>2025-10-16T17:42:12.600703</t>
        </is>
      </c>
      <c r="S33" t="inlineStr">
        <is>
          <t>{'let available date': '18/10/2025', 'deposit': '£1,788', 'min. tenancy': 'Ask agent', 'let type': 'Long term', 'furnish type': 'Furnished or unfurnished, landlord is flexible', 'council tax': 'Ask agent'}</t>
        </is>
      </c>
      <c r="V33" t="b">
        <v>1</v>
      </c>
      <c r="X33" t="n">
        <v>24.26</v>
      </c>
      <c r="Y33" t="n">
        <v>66.3</v>
      </c>
      <c r="Z33">
        <f>IF(AND(ISNUMBER(B33), ISNUMBER(MIN(B$2:B$486)), ISNUMBER(MAX(B$2:B$486))), IF(MAX(B$2:B$486)=MIN(B$2:B$486), 50, ROUND((MAX(B$2:B$486)-B33)/(MAX(B$2:B$486)-MIN(B$2:B$486))*100, 2)), "")</f>
        <v/>
      </c>
      <c r="AA33">
        <f>IF(AND(ISNUMBER(X33), ISNUMBER(MIN(X$2:X$486)), ISNUMBER(MAX(X$2:X$486))), IF(MAX(X$2:X$486)=MIN(X$2:X$486), 50, ROUND((MAX(X$2:X$486)-X33)/(MAX(X$2:X$486)-MIN(X$2:X$486))*100, 2)), "")</f>
        <v/>
      </c>
      <c r="AB33">
        <f>IF(AND(ISNUMBER(U33), ISNUMBER(MIN(U$2:U$486)), ISNUMBER(MAX(U$2:U$486))), IF(MAX(U$2:U$486)=MIN(U$2:U$486), 50, ROUND((U33-MIN(U$2:U$486))/(MAX(U$2:U$486)-MIN(U$2:U$486))*100, 2)), "")</f>
        <v/>
      </c>
      <c r="AC33">
        <f>IF(AND(ISNUMBER(Z33), ISNUMBER(AA33), ISNUMBER(AB33)), ROUND((Z33+AA33+AB33)/3, 2), "")</f>
        <v/>
      </c>
    </row>
    <row r="34">
      <c r="A34" t="n">
        <v>163428584</v>
      </c>
      <c r="B34" t="n">
        <v>1640</v>
      </c>
      <c r="C34" t="inlineStr">
        <is>
          <t>£1,640 pcm</t>
        </is>
      </c>
      <c r="D34" t="inlineStr">
        <is>
          <t>monthly</t>
        </is>
      </c>
      <c r="E34" t="inlineStr">
        <is>
          <t>Flat</t>
        </is>
      </c>
      <c r="F34" t="n">
        <v>2</v>
      </c>
      <c r="G34" t="n">
        <v>1</v>
      </c>
      <c r="H34" t="inlineStr">
        <is>
          <t>Samuel Street, London SE18 5LL</t>
        </is>
      </c>
      <c r="I34" t="inlineStr">
        <is>
          <t>Greens Lettings brings to the market this newly refurbished two bedroom flat available to rent near Woolwich Dockyard.</t>
        </is>
      </c>
      <c r="J34" t="inlineStr">
        <is>
          <t>https://www.rightmove.co.uk/properties/163428584#/?channel=RES_LET</t>
        </is>
      </c>
      <c r="K34" t="inlineStr">
        <is>
          <t>/property-to-rent/contactBranch.html?propertyId=163428584</t>
        </is>
      </c>
      <c r="L34" t="inlineStr">
        <is>
          <t>Greens, London - Lettings</t>
        </is>
      </c>
      <c r="M34" t="n">
        <v>117481</v>
      </c>
      <c r="N34" t="inlineStr">
        <is>
          <t>Reduced today</t>
        </is>
      </c>
      <c r="O34" t="inlineStr">
        <is>
          <t>2025-08-18T16:02:59Z</t>
        </is>
      </c>
      <c r="Q34" t="inlineStr">
        <is>
          <t>SE18</t>
        </is>
      </c>
      <c r="R34" t="inlineStr">
        <is>
          <t>2025-10-16T17:42:12.600706</t>
        </is>
      </c>
      <c r="S34" t="inlineStr">
        <is>
          <t>{'let available date': 'Now', 'deposit': '£1,640', 'min. tenancy': 'Ask agent', 'let type': 'Long term', 'furnish type': 'Unfurnished', 'council tax': 'Ask agent'}</t>
        </is>
      </c>
      <c r="V34" t="b">
        <v>1</v>
      </c>
      <c r="X34" t="n">
        <v>20.83</v>
      </c>
      <c r="Y34" t="n">
        <v>51.8</v>
      </c>
      <c r="Z34">
        <f>IF(AND(ISNUMBER(B34), ISNUMBER(MIN(B$2:B$486)), ISNUMBER(MAX(B$2:B$486))), IF(MAX(B$2:B$486)=MIN(B$2:B$486), 50, ROUND((MAX(B$2:B$486)-B34)/(MAX(B$2:B$486)-MIN(B$2:B$486))*100, 2)), "")</f>
        <v/>
      </c>
      <c r="AA34">
        <f>IF(AND(ISNUMBER(X34), ISNUMBER(MIN(X$2:X$486)), ISNUMBER(MAX(X$2:X$486))), IF(MAX(X$2:X$486)=MIN(X$2:X$486), 50, ROUND((MAX(X$2:X$486)-X34)/(MAX(X$2:X$486)-MIN(X$2:X$486))*100, 2)), "")</f>
        <v/>
      </c>
      <c r="AB34">
        <f>IF(AND(ISNUMBER(U34), ISNUMBER(MIN(U$2:U$486)), ISNUMBER(MAX(U$2:U$486))), IF(MAX(U$2:U$486)=MIN(U$2:U$486), 50, ROUND((U34-MIN(U$2:U$486))/(MAX(U$2:U$486)-MIN(U$2:U$486))*100, 2)), "")</f>
        <v/>
      </c>
      <c r="AC34">
        <f>IF(AND(ISNUMBER(Z34), ISNUMBER(AA34), ISNUMBER(AB34)), ROUND((Z34+AA34+AB34)/3, 2), "")</f>
        <v/>
      </c>
    </row>
    <row r="35">
      <c r="A35" t="n">
        <v>168253049</v>
      </c>
      <c r="B35" t="n">
        <v>1495</v>
      </c>
      <c r="C35" t="inlineStr">
        <is>
          <t>£1,495 pcm</t>
        </is>
      </c>
      <c r="D35" t="inlineStr">
        <is>
          <t>monthly</t>
        </is>
      </c>
      <c r="E35" t="inlineStr">
        <is>
          <t>Flat</t>
        </is>
      </c>
      <c r="F35" t="n">
        <v>2</v>
      </c>
      <c r="G35" t="n">
        <v>1</v>
      </c>
      <c r="H35" t="inlineStr">
        <is>
          <t>East End Road, London, N2</t>
        </is>
      </c>
      <c r="I35" t="inlineStr">
        <is>
          <t>- Double bedroom and single bedroom- Large Living room- Fully fitted kitchen- Furnished / Unfurnished- 10min by transport to East Finchley station- Double glazed- Gas central heating- No Bills included</t>
        </is>
      </c>
      <c r="J35" t="inlineStr">
        <is>
          <t>https://www.rightmove.co.uk/properties/168253049#/?channel=RES_LET</t>
        </is>
      </c>
      <c r="K35" t="inlineStr">
        <is>
          <t>/property-to-rent/contactBranch.html?propertyId=168253049</t>
        </is>
      </c>
      <c r="L35" t="inlineStr">
        <is>
          <t>Live London Estates, Golders Green</t>
        </is>
      </c>
      <c r="M35" t="n">
        <v>141884</v>
      </c>
      <c r="N35" t="inlineStr">
        <is>
          <t>Added today</t>
        </is>
      </c>
      <c r="O35" t="inlineStr">
        <is>
          <t>2025-10-16T11:49:23Z</t>
        </is>
      </c>
      <c r="Q35" t="inlineStr">
        <is>
          <t>N2</t>
        </is>
      </c>
      <c r="R35" t="inlineStr">
        <is>
          <t>2025-10-16T17:42:12.600709</t>
        </is>
      </c>
      <c r="S35" t="inlineStr">
        <is>
          <t>{'let available date': 'Ask agent', 'deposit': 'Ask agent', 'min. tenancy': 'Ask agent', 'let type': 'Long term', 'furnish type': 'Furnished or unfurnished, landlord is flexible', 'council tax': 'Ask agent'}</t>
        </is>
      </c>
      <c r="V35" t="b">
        <v>1</v>
      </c>
      <c r="X35" t="n">
        <v>11.27</v>
      </c>
      <c r="Y35" t="n">
        <v>40.4</v>
      </c>
      <c r="Z35">
        <f>IF(AND(ISNUMBER(B35), ISNUMBER(MIN(B$2:B$486)), ISNUMBER(MAX(B$2:B$486))), IF(MAX(B$2:B$486)=MIN(B$2:B$486), 50, ROUND((MAX(B$2:B$486)-B35)/(MAX(B$2:B$486)-MIN(B$2:B$486))*100, 2)), "")</f>
        <v/>
      </c>
      <c r="AA35">
        <f>IF(AND(ISNUMBER(X35), ISNUMBER(MIN(X$2:X$486)), ISNUMBER(MAX(X$2:X$486))), IF(MAX(X$2:X$486)=MIN(X$2:X$486), 50, ROUND((MAX(X$2:X$486)-X35)/(MAX(X$2:X$486)-MIN(X$2:X$486))*100, 2)), "")</f>
        <v/>
      </c>
      <c r="AB35">
        <f>IF(AND(ISNUMBER(U35), ISNUMBER(MIN(U$2:U$486)), ISNUMBER(MAX(U$2:U$486))), IF(MAX(U$2:U$486)=MIN(U$2:U$486), 50, ROUND((U35-MIN(U$2:U$486))/(MAX(U$2:U$486)-MIN(U$2:U$486))*100, 2)), "")</f>
        <v/>
      </c>
      <c r="AC35">
        <f>IF(AND(ISNUMBER(Z35), ISNUMBER(AA35), ISNUMBER(AB35)), ROUND((Z35+AA35+AB35)/3, 2), "")</f>
        <v/>
      </c>
    </row>
    <row r="36">
      <c r="A36" t="n">
        <v>166433246</v>
      </c>
      <c r="B36" t="n">
        <v>1750</v>
      </c>
      <c r="C36" t="inlineStr">
        <is>
          <t>£1,750 pcm</t>
        </is>
      </c>
      <c r="D36" t="inlineStr">
        <is>
          <t>monthly</t>
        </is>
      </c>
      <c r="E36" t="inlineStr">
        <is>
          <t>Flat</t>
        </is>
      </c>
      <c r="F36" t="n">
        <v>2</v>
      </c>
      <c r="G36" t="n">
        <v>2</v>
      </c>
      <c r="H36" t="inlineStr">
        <is>
          <t>Dartmouth Road, London, SE26</t>
        </is>
      </c>
      <c r="I36" t="inlineStr">
        <is>
          <t>Charming two-bedroom, two-bathroom apartment available for rent, offering spacious living areas and an ideal location between Forest Hill and Sydenham. Available from October 29th</t>
        </is>
      </c>
      <c r="J36" t="inlineStr">
        <is>
          <t>https://www.rightmove.co.uk/properties/166433246#/?channel=RES_LET</t>
        </is>
      </c>
      <c r="K36" t="inlineStr">
        <is>
          <t>/property-to-rent/contactBranch.html?propertyId=166433246</t>
        </is>
      </c>
      <c r="L36" t="inlineStr">
        <is>
          <t>Kinleigh Folkard &amp; Hayward - Lettings, Sydenham</t>
        </is>
      </c>
      <c r="M36" t="n">
        <v>239978</v>
      </c>
      <c r="N36" t="inlineStr">
        <is>
          <t>Added today</t>
        </is>
      </c>
      <c r="O36" t="inlineStr">
        <is>
          <t>2025-09-01T11:57:22Z</t>
        </is>
      </c>
      <c r="Q36" t="inlineStr">
        <is>
          <t>SE26</t>
        </is>
      </c>
      <c r="R36" t="inlineStr">
        <is>
          <t>2025-10-16T17:42:12.600712</t>
        </is>
      </c>
      <c r="S36" t="inlineStr">
        <is>
          <t>{'let available date': '29/10/2025', 'deposit': '£2,019', 'min. tenancy': 'Ask agent', 'let type': 'Long term', 'furnish type': 'Furnished', 'council tax': 'Ask agent'}</t>
        </is>
      </c>
      <c r="V36" t="b">
        <v>1</v>
      </c>
      <c r="X36" t="n">
        <v>14.14</v>
      </c>
      <c r="Y36" t="n">
        <v>49.6</v>
      </c>
      <c r="Z36">
        <f>IF(AND(ISNUMBER(B36), ISNUMBER(MIN(B$2:B$486)), ISNUMBER(MAX(B$2:B$486))), IF(MAX(B$2:B$486)=MIN(B$2:B$486), 50, ROUND((MAX(B$2:B$486)-B36)/(MAX(B$2:B$486)-MIN(B$2:B$486))*100, 2)), "")</f>
        <v/>
      </c>
      <c r="AA36">
        <f>IF(AND(ISNUMBER(X36), ISNUMBER(MIN(X$2:X$486)), ISNUMBER(MAX(X$2:X$486))), IF(MAX(X$2:X$486)=MIN(X$2:X$486), 50, ROUND((MAX(X$2:X$486)-X36)/(MAX(X$2:X$486)-MIN(X$2:X$486))*100, 2)), "")</f>
        <v/>
      </c>
      <c r="AB36">
        <f>IF(AND(ISNUMBER(U36), ISNUMBER(MIN(U$2:U$486)), ISNUMBER(MAX(U$2:U$486))), IF(MAX(U$2:U$486)=MIN(U$2:U$486), 50, ROUND((U36-MIN(U$2:U$486))/(MAX(U$2:U$486)-MIN(U$2:U$486))*100, 2)), "")</f>
        <v/>
      </c>
      <c r="AC36">
        <f>IF(AND(ISNUMBER(Z36), ISNUMBER(AA36), ISNUMBER(AB36)), ROUND((Z36+AA36+AB36)/3, 2), "")</f>
        <v/>
      </c>
    </row>
    <row r="37">
      <c r="A37" t="n">
        <v>166471064</v>
      </c>
      <c r="B37" t="n">
        <v>1750</v>
      </c>
      <c r="C37" t="inlineStr">
        <is>
          <t>£1,750 pcm</t>
        </is>
      </c>
      <c r="D37" t="inlineStr">
        <is>
          <t>monthly</t>
        </is>
      </c>
      <c r="E37" t="inlineStr">
        <is>
          <t>Not Specified</t>
        </is>
      </c>
      <c r="F37" t="n">
        <v>2</v>
      </c>
      <c r="G37" t="n">
        <v>1</v>
      </c>
      <c r="H37" t="inlineStr">
        <is>
          <t>Finchley Road, London, NW2</t>
        </is>
      </c>
      <c r="I37" t="inlineStr">
        <is>
          <t>Situated on the top floor and in great condition throughout is a delightful two bedroom apartment with allocated off street parking included and located in popular Childs Hill.</t>
        </is>
      </c>
      <c r="J37" t="inlineStr">
        <is>
          <t>https://www.rightmove.co.uk/properties/166471064#/?channel=RES_LET</t>
        </is>
      </c>
      <c r="K37" t="inlineStr">
        <is>
          <t>/property-to-rent/contactBranch.html?propertyId=166471064</t>
        </is>
      </c>
      <c r="L37" t="inlineStr">
        <is>
          <t>Kinleigh Folkard &amp; Hayward - Lettings, West Hampstead</t>
        </is>
      </c>
      <c r="M37" t="n">
        <v>98852</v>
      </c>
      <c r="N37" t="inlineStr">
        <is>
          <t>Reduced today</t>
        </is>
      </c>
      <c r="O37" t="inlineStr">
        <is>
          <t>2025-09-02T09:46:47Z</t>
        </is>
      </c>
      <c r="Q37" t="inlineStr">
        <is>
          <t>NW2</t>
        </is>
      </c>
      <c r="R37" t="inlineStr">
        <is>
          <t>2025-10-16T17:42:12.600716</t>
        </is>
      </c>
      <c r="S37" t="inlineStr">
        <is>
          <t>{'let available date': 'Now', 'deposit': '£2,019', 'min. tenancy': 'Ask agent', 'let type': 'Long term', 'furnish type': 'Unfurnished', 'council tax': 'Ask agent'}</t>
        </is>
      </c>
      <c r="V37" t="b">
        <v>1</v>
      </c>
      <c r="X37" t="n">
        <v>11.77</v>
      </c>
      <c r="Y37" t="n">
        <v>43</v>
      </c>
      <c r="Z37">
        <f>IF(AND(ISNUMBER(B37), ISNUMBER(MIN(B$2:B$486)), ISNUMBER(MAX(B$2:B$486))), IF(MAX(B$2:B$486)=MIN(B$2:B$486), 50, ROUND((MAX(B$2:B$486)-B37)/(MAX(B$2:B$486)-MIN(B$2:B$486))*100, 2)), "")</f>
        <v/>
      </c>
      <c r="AA37">
        <f>IF(AND(ISNUMBER(X37), ISNUMBER(MIN(X$2:X$486)), ISNUMBER(MAX(X$2:X$486))), IF(MAX(X$2:X$486)=MIN(X$2:X$486), 50, ROUND((MAX(X$2:X$486)-X37)/(MAX(X$2:X$486)-MIN(X$2:X$486))*100, 2)), "")</f>
        <v/>
      </c>
      <c r="AB37">
        <f>IF(AND(ISNUMBER(U37), ISNUMBER(MIN(U$2:U$486)), ISNUMBER(MAX(U$2:U$486))), IF(MAX(U$2:U$486)=MIN(U$2:U$486), 50, ROUND((U37-MIN(U$2:U$486))/(MAX(U$2:U$486)-MIN(U$2:U$486))*100, 2)), "")</f>
        <v/>
      </c>
      <c r="AC37">
        <f>IF(AND(ISNUMBER(Z37), ISNUMBER(AA37), ISNUMBER(AB37)), ROUND((Z37+AA37+AB37)/3, 2), "")</f>
        <v/>
      </c>
    </row>
    <row r="38">
      <c r="A38" t="n">
        <v>168246995</v>
      </c>
      <c r="B38" t="n">
        <v>1650</v>
      </c>
      <c r="C38" t="inlineStr">
        <is>
          <t>£1,650 pcm</t>
        </is>
      </c>
      <c r="D38" t="inlineStr">
        <is>
          <t>monthly</t>
        </is>
      </c>
      <c r="E38" t="inlineStr">
        <is>
          <t>Apartment</t>
        </is>
      </c>
      <c r="F38" t="n">
        <v>2</v>
      </c>
      <c r="G38" t="n">
        <v>1</v>
      </c>
      <c r="H38" t="inlineStr">
        <is>
          <t>Sydney Road, Muswell Hill, London, N10</t>
        </is>
      </c>
      <c r="I38" t="inlineStr">
        <is>
          <t>NO DEPOSIT OPTION AVAILABLE. A ground floor two bedroom a maisonette with private rear garden. Offered in good condition throughout. Fully managed by Martyn Gerrad Estate Agents. Available October onwards. Longer terms preferred.</t>
        </is>
      </c>
      <c r="J38" t="inlineStr">
        <is>
          <t>https://www.rightmove.co.uk/properties/168246995#/?channel=RES_LET</t>
        </is>
      </c>
      <c r="K38" t="inlineStr">
        <is>
          <t>/property-to-rent/contactBranch.html?propertyId=168246995</t>
        </is>
      </c>
      <c r="L38" t="inlineStr">
        <is>
          <t>Martyn Gerrard, Muswell Hill</t>
        </is>
      </c>
      <c r="M38" t="n">
        <v>13102</v>
      </c>
      <c r="N38" t="inlineStr">
        <is>
          <t>Added today</t>
        </is>
      </c>
      <c r="O38" t="inlineStr">
        <is>
          <t>2025-10-16T10:33:58Z</t>
        </is>
      </c>
      <c r="Q38" t="inlineStr">
        <is>
          <t>N10</t>
        </is>
      </c>
      <c r="R38" t="inlineStr">
        <is>
          <t>2025-10-16T17:42:12.600723</t>
        </is>
      </c>
      <c r="S38" t="inlineStr">
        <is>
          <t>{'let available date': '25/10/2025', 'deposit': '£0', 'min. tenancy': '12 months', 'let type': 'Long term', 'furnish type': 'Ask agent', 'council tax': 'Ask agent'}</t>
        </is>
      </c>
      <c r="T38" t="n">
        <v>517</v>
      </c>
      <c r="U38" t="n">
        <v>48</v>
      </c>
      <c r="V38" t="b">
        <v>1</v>
      </c>
      <c r="X38" t="n">
        <v>11.21</v>
      </c>
      <c r="Y38" t="n">
        <v>42.9</v>
      </c>
      <c r="Z38">
        <f>IF(AND(ISNUMBER(B38), ISNUMBER(MIN(B$2:B$486)), ISNUMBER(MAX(B$2:B$486))), IF(MAX(B$2:B$486)=MIN(B$2:B$486), 50, ROUND((MAX(B$2:B$486)-B38)/(MAX(B$2:B$486)-MIN(B$2:B$486))*100, 2)), "")</f>
        <v/>
      </c>
      <c r="AA38">
        <f>IF(AND(ISNUMBER(X38), ISNUMBER(MIN(X$2:X$486)), ISNUMBER(MAX(X$2:X$486))), IF(MAX(X$2:X$486)=MIN(X$2:X$486), 50, ROUND((MAX(X$2:X$486)-X38)/(MAX(X$2:X$486)-MIN(X$2:X$486))*100, 2)), "")</f>
        <v/>
      </c>
      <c r="AB38">
        <f>IF(AND(ISNUMBER(U38), ISNUMBER(MIN(U$2:U$486)), ISNUMBER(MAX(U$2:U$486))), IF(MAX(U$2:U$486)=MIN(U$2:U$486), 50, ROUND((U38-MIN(U$2:U$486))/(MAX(U$2:U$486)-MIN(U$2:U$486))*100, 2)), "")</f>
        <v/>
      </c>
      <c r="AC38">
        <f>IF(AND(ISNUMBER(Z38), ISNUMBER(AA38), ISNUMBER(AB38)), ROUND((Z38+AA38+AB38)/3, 2), "")</f>
        <v/>
      </c>
    </row>
    <row r="39">
      <c r="A39" t="n">
        <v>162285260</v>
      </c>
      <c r="B39" t="n">
        <v>1700</v>
      </c>
      <c r="C39" t="inlineStr">
        <is>
          <t>£1,700 pcm</t>
        </is>
      </c>
      <c r="D39" t="inlineStr">
        <is>
          <t>monthly</t>
        </is>
      </c>
      <c r="E39" t="inlineStr">
        <is>
          <t>Flat</t>
        </is>
      </c>
      <c r="F39" t="n">
        <v>2</v>
      </c>
      <c r="H39" t="inlineStr">
        <is>
          <t>Old Tower Buildings, Brewhouse Lane, London, E1W</t>
        </is>
      </c>
      <c r="I39" t="inlineStr">
        <is>
          <t>AN OPPORTUNITY TO RENT THIS THIS TWO BEDROOM UNFURNISHED THIRD FLOOR FLAT IN A CHARMING PERIOD BUILDING. SITUATED IN THE SOUGHT AFTER WAPPING LOCATION CLOSE TO THE THAMES AND NOT FAR FROM WAPPING STATION. EPC RATING E. COUNCIL TAX BAND A. DAMAGES DEPOSIT £1,700.00</t>
        </is>
      </c>
      <c r="J39" t="inlineStr">
        <is>
          <t>https://www.rightmove.co.uk/properties/162285260#/?channel=RES_LET</t>
        </is>
      </c>
      <c r="K39" t="inlineStr">
        <is>
          <t>/property-to-rent/contactBranch.html?propertyId=162285260</t>
        </is>
      </c>
      <c r="L39" t="inlineStr">
        <is>
          <t>Wade Residential, Upminster</t>
        </is>
      </c>
      <c r="M39" t="n">
        <v>163091</v>
      </c>
      <c r="N39" t="inlineStr">
        <is>
          <t>Added today</t>
        </is>
      </c>
      <c r="O39" t="inlineStr">
        <is>
          <t>2025-05-27T10:20:41Z</t>
        </is>
      </c>
      <c r="Q39" t="inlineStr">
        <is>
          <t>E1W</t>
        </is>
      </c>
      <c r="R39" t="inlineStr">
        <is>
          <t>2025-10-16T17:42:12.600728</t>
        </is>
      </c>
      <c r="S39" t="inlineStr">
        <is>
          <t>{'let available date': 'Ask agent', 'deposit': 'Ask agent', 'min. tenancy': 'Ask agent', 'let type': 'Long term', 'furnish type': 'Unfurnished', 'council tax': 'Ask agent'}</t>
        </is>
      </c>
      <c r="V39" t="b">
        <v>1</v>
      </c>
      <c r="X39" t="n">
        <v>6.83</v>
      </c>
      <c r="Y39" t="n">
        <v>30.2</v>
      </c>
      <c r="Z39">
        <f>IF(AND(ISNUMBER(B39), ISNUMBER(MIN(B$2:B$486)), ISNUMBER(MAX(B$2:B$486))), IF(MAX(B$2:B$486)=MIN(B$2:B$486), 50, ROUND((MAX(B$2:B$486)-B39)/(MAX(B$2:B$486)-MIN(B$2:B$486))*100, 2)), "")</f>
        <v/>
      </c>
      <c r="AA39">
        <f>IF(AND(ISNUMBER(X39), ISNUMBER(MIN(X$2:X$486)), ISNUMBER(MAX(X$2:X$486))), IF(MAX(X$2:X$486)=MIN(X$2:X$486), 50, ROUND((MAX(X$2:X$486)-X39)/(MAX(X$2:X$486)-MIN(X$2:X$486))*100, 2)), "")</f>
        <v/>
      </c>
      <c r="AB39">
        <f>IF(AND(ISNUMBER(U39), ISNUMBER(MIN(U$2:U$486)), ISNUMBER(MAX(U$2:U$486))), IF(MAX(U$2:U$486)=MIN(U$2:U$486), 50, ROUND((U39-MIN(U$2:U$486))/(MAX(U$2:U$486)-MIN(U$2:U$486))*100, 2)), "")</f>
        <v/>
      </c>
      <c r="AC39">
        <f>IF(AND(ISNUMBER(Z39), ISNUMBER(AA39), ISNUMBER(AB39)), ROUND((Z39+AA39+AB39)/3, 2), "")</f>
        <v/>
      </c>
    </row>
    <row r="40">
      <c r="A40" t="n">
        <v>168246347</v>
      </c>
      <c r="B40" t="n">
        <v>1650</v>
      </c>
      <c r="C40" t="inlineStr">
        <is>
          <t>£1,650 pcm</t>
        </is>
      </c>
      <c r="D40" t="inlineStr">
        <is>
          <t>monthly</t>
        </is>
      </c>
      <c r="E40" t="inlineStr">
        <is>
          <t>Apartment</t>
        </is>
      </c>
      <c r="F40" t="n">
        <v>2</v>
      </c>
      <c r="G40" t="n">
        <v>1</v>
      </c>
      <c r="H40" t="inlineStr">
        <is>
          <t>Gleneagle Road, London, SW16</t>
        </is>
      </c>
      <c r="I40" t="inlineStr">
        <is>
          <t>No Deposit Option Available For Tenants. A two bedroom modern flat located on this sought-after road. The property is located within minutes to the amenities and transport links of Streatham High Road. A stunning first floor, two bedroom period conversion flat to let situate...</t>
        </is>
      </c>
      <c r="J40" t="inlineStr">
        <is>
          <t>https://www.rightmove.co.uk/properties/168246347#/?channel=RES_LET</t>
        </is>
      </c>
      <c r="K40" t="inlineStr">
        <is>
          <t>/property-to-rent/contactBranch.html?propertyId=168246347</t>
        </is>
      </c>
      <c r="L40" t="inlineStr">
        <is>
          <t>Stirling Ackroyd Lettings, Streatham - Lettings</t>
        </is>
      </c>
      <c r="M40" t="n">
        <v>12694</v>
      </c>
      <c r="N40" t="inlineStr">
        <is>
          <t>Added today</t>
        </is>
      </c>
      <c r="O40" t="inlineStr">
        <is>
          <t>2025-10-16T10:23:57Z</t>
        </is>
      </c>
      <c r="Q40" t="inlineStr">
        <is>
          <t>SW16</t>
        </is>
      </c>
      <c r="R40" t="inlineStr">
        <is>
          <t>2025-10-16T17:42:12.600733</t>
        </is>
      </c>
      <c r="S40" t="inlineStr">
        <is>
          <t>{'let available date': '09/11/2025', 'deposit': '£1,903', 'min. tenancy': '12 months', 'let type': 'Long term', 'furnish type': 'Furnished or unfurnished, landlord is flexible', 'council tax': 'Ask agent'}</t>
        </is>
      </c>
      <c r="V40" t="b">
        <v>1</v>
      </c>
      <c r="X40" t="n">
        <v>12.65</v>
      </c>
      <c r="Y40" t="n">
        <v>45.8</v>
      </c>
      <c r="Z40">
        <f>IF(AND(ISNUMBER(B40), ISNUMBER(MIN(B$2:B$486)), ISNUMBER(MAX(B$2:B$486))), IF(MAX(B$2:B$486)=MIN(B$2:B$486), 50, ROUND((MAX(B$2:B$486)-B40)/(MAX(B$2:B$486)-MIN(B$2:B$486))*100, 2)), "")</f>
        <v/>
      </c>
      <c r="AA40">
        <f>IF(AND(ISNUMBER(X40), ISNUMBER(MIN(X$2:X$486)), ISNUMBER(MAX(X$2:X$486))), IF(MAX(X$2:X$486)=MIN(X$2:X$486), 50, ROUND((MAX(X$2:X$486)-X40)/(MAX(X$2:X$486)-MIN(X$2:X$486))*100, 2)), "")</f>
        <v/>
      </c>
      <c r="AB40">
        <f>IF(AND(ISNUMBER(U40), ISNUMBER(MIN(U$2:U$486)), ISNUMBER(MAX(U$2:U$486))), IF(MAX(U$2:U$486)=MIN(U$2:U$486), 50, ROUND((U40-MIN(U$2:U$486))/(MAX(U$2:U$486)-MIN(U$2:U$486))*100, 2)), "")</f>
        <v/>
      </c>
      <c r="AC40">
        <f>IF(AND(ISNUMBER(Z40), ISNUMBER(AA40), ISNUMBER(AB40)), ROUND((Z40+AA40+AB40)/3, 2), "")</f>
        <v/>
      </c>
    </row>
    <row r="41">
      <c r="A41" t="n">
        <v>168243965</v>
      </c>
      <c r="B41" t="n">
        <v>1750</v>
      </c>
      <c r="C41" t="inlineStr">
        <is>
          <t>£1,750 pcm</t>
        </is>
      </c>
      <c r="D41" t="inlineStr">
        <is>
          <t>monthly</t>
        </is>
      </c>
      <c r="E41" t="inlineStr">
        <is>
          <t>Flat</t>
        </is>
      </c>
      <c r="F41" t="n">
        <v>2</v>
      </c>
      <c r="G41" t="n">
        <v>1</v>
      </c>
      <c r="H41" t="inlineStr">
        <is>
          <t>Turnstone Close, Plaistow E13</t>
        </is>
      </c>
      <c r="I41" t="inlineStr">
        <is>
          <t>2 Bedroom Ground Floor Flat - Plaistow E13</t>
        </is>
      </c>
      <c r="J41" t="inlineStr">
        <is>
          <t>https://www.rightmove.co.uk/properties/168243965#/?channel=RES_LET</t>
        </is>
      </c>
      <c r="K41" t="inlineStr">
        <is>
          <t>/property-to-rent/contactBranch.html?propertyId=168243965</t>
        </is>
      </c>
      <c r="L41" t="inlineStr">
        <is>
          <t>In Estates, London</t>
        </is>
      </c>
      <c r="M41" t="n">
        <v>38897</v>
      </c>
      <c r="N41" t="inlineStr">
        <is>
          <t>Added today</t>
        </is>
      </c>
      <c r="O41" t="inlineStr">
        <is>
          <t>2025-10-16T09:51:14Z</t>
        </is>
      </c>
      <c r="Q41" t="inlineStr">
        <is>
          <t>E13</t>
        </is>
      </c>
      <c r="R41" t="inlineStr">
        <is>
          <t>2025-10-16T17:42:12.600737</t>
        </is>
      </c>
      <c r="S41" t="inlineStr">
        <is>
          <t>{'let available date': '01/12/2025', 'deposit': '£2,019', 'min. tenancy': 'Ask agent', 'let type': 'Long term', 'furnish type': 'Furnished', 'council tax': 'Ask agent'}</t>
        </is>
      </c>
      <c r="V41" t="b">
        <v>1</v>
      </c>
      <c r="X41" t="n">
        <v>15.12</v>
      </c>
      <c r="Y41" t="n">
        <v>46.2</v>
      </c>
      <c r="Z41">
        <f>IF(AND(ISNUMBER(B41), ISNUMBER(MIN(B$2:B$486)), ISNUMBER(MAX(B$2:B$486))), IF(MAX(B$2:B$486)=MIN(B$2:B$486), 50, ROUND((MAX(B$2:B$486)-B41)/(MAX(B$2:B$486)-MIN(B$2:B$486))*100, 2)), "")</f>
        <v/>
      </c>
      <c r="AA41">
        <f>IF(AND(ISNUMBER(X41), ISNUMBER(MIN(X$2:X$486)), ISNUMBER(MAX(X$2:X$486))), IF(MAX(X$2:X$486)=MIN(X$2:X$486), 50, ROUND((MAX(X$2:X$486)-X41)/(MAX(X$2:X$486)-MIN(X$2:X$486))*100, 2)), "")</f>
        <v/>
      </c>
      <c r="AB41">
        <f>IF(AND(ISNUMBER(U41), ISNUMBER(MIN(U$2:U$486)), ISNUMBER(MAX(U$2:U$486))), IF(MAX(U$2:U$486)=MIN(U$2:U$486), 50, ROUND((U41-MIN(U$2:U$486))/(MAX(U$2:U$486)-MIN(U$2:U$486))*100, 2)), "")</f>
        <v/>
      </c>
      <c r="AC41">
        <f>IF(AND(ISNUMBER(Z41), ISNUMBER(AA41), ISNUMBER(AB41)), ROUND((Z41+AA41+AB41)/3, 2), "")</f>
        <v/>
      </c>
    </row>
    <row r="42">
      <c r="A42" t="n">
        <v>168241706</v>
      </c>
      <c r="B42" t="n">
        <v>1750</v>
      </c>
      <c r="C42" t="inlineStr">
        <is>
          <t>£1,750 pcm</t>
        </is>
      </c>
      <c r="D42" t="inlineStr">
        <is>
          <t>monthly</t>
        </is>
      </c>
      <c r="E42" t="inlineStr">
        <is>
          <t>Flat</t>
        </is>
      </c>
      <c r="F42" t="n">
        <v>2</v>
      </c>
      <c r="G42" t="n">
        <v>1</v>
      </c>
      <c r="H42" t="inlineStr">
        <is>
          <t>Lansdowne Way, Vauxhall/Stockwell SW8</t>
        </is>
      </c>
      <c r="I42" t="inlineStr">
        <is>
          <t>Cute and conveniently arranged two double bedroom in the sought after area close to Vauxhall and minutes from Nine Elms Tube and Stockwell Station. Flat comprises of two double bedroom, reception room and separate kitchen.</t>
        </is>
      </c>
      <c r="J42" t="inlineStr">
        <is>
          <t>https://www.rightmove.co.uk/properties/168241706#/?channel=RES_LET</t>
        </is>
      </c>
      <c r="K42" t="inlineStr">
        <is>
          <t>/property-to-rent/contactBranch.html?propertyId=168241706</t>
        </is>
      </c>
      <c r="L42" t="inlineStr">
        <is>
          <t>Tate Residential Ltd, London</t>
        </is>
      </c>
      <c r="M42" t="n">
        <v>111214</v>
      </c>
      <c r="N42" t="inlineStr">
        <is>
          <t>Added today</t>
        </is>
      </c>
      <c r="O42" t="inlineStr">
        <is>
          <t>2025-10-16T09:25:30Z</t>
        </is>
      </c>
      <c r="Q42" t="inlineStr">
        <is>
          <t>SW8</t>
        </is>
      </c>
      <c r="R42" t="inlineStr">
        <is>
          <t>2025-10-16T17:42:12.600740</t>
        </is>
      </c>
      <c r="S42" t="inlineStr">
        <is>
          <t>{'let available date': '09/01/2026', 'deposit': '£2,019', 'min. tenancy': 'Ask agent', 'let type': 'Long term', 'furnish type': 'Furnished', 'council tax': 'Ask agent'}</t>
        </is>
      </c>
      <c r="V42" t="b">
        <v>1</v>
      </c>
      <c r="X42" t="n">
        <v>5.26</v>
      </c>
      <c r="Y42" t="n">
        <v>23.1</v>
      </c>
      <c r="Z42">
        <f>IF(AND(ISNUMBER(B42), ISNUMBER(MIN(B$2:B$486)), ISNUMBER(MAX(B$2:B$486))), IF(MAX(B$2:B$486)=MIN(B$2:B$486), 50, ROUND((MAX(B$2:B$486)-B42)/(MAX(B$2:B$486)-MIN(B$2:B$486))*100, 2)), "")</f>
        <v/>
      </c>
      <c r="AA42">
        <f>IF(AND(ISNUMBER(X42), ISNUMBER(MIN(X$2:X$486)), ISNUMBER(MAX(X$2:X$486))), IF(MAX(X$2:X$486)=MIN(X$2:X$486), 50, ROUND((MAX(X$2:X$486)-X42)/(MAX(X$2:X$486)-MIN(X$2:X$486))*100, 2)), "")</f>
        <v/>
      </c>
      <c r="AB42">
        <f>IF(AND(ISNUMBER(U42), ISNUMBER(MIN(U$2:U$486)), ISNUMBER(MAX(U$2:U$486))), IF(MAX(U$2:U$486)=MIN(U$2:U$486), 50, ROUND((U42-MIN(U$2:U$486))/(MAX(U$2:U$486)-MIN(U$2:U$486))*100, 2)), "")</f>
        <v/>
      </c>
      <c r="AC42">
        <f>IF(AND(ISNUMBER(Z42), ISNUMBER(AA42), ISNUMBER(AB42)), ROUND((Z42+AA42+AB42)/3, 2), "")</f>
        <v/>
      </c>
    </row>
    <row r="43">
      <c r="A43" t="n">
        <v>167808686</v>
      </c>
      <c r="B43" t="n">
        <v>1600</v>
      </c>
      <c r="C43" t="inlineStr">
        <is>
          <t>£1,600 pcm</t>
        </is>
      </c>
      <c r="D43" t="inlineStr">
        <is>
          <t>monthly</t>
        </is>
      </c>
      <c r="E43" t="inlineStr">
        <is>
          <t>Apartment</t>
        </is>
      </c>
      <c r="F43" t="n">
        <v>2</v>
      </c>
      <c r="G43" t="n">
        <v>1</v>
      </c>
      <c r="H43" t="inlineStr">
        <is>
          <t>Crales House, Harlinger Street, London, SE18</t>
        </is>
      </c>
      <c r="I43" t="inlineStr">
        <is>
          <t>ATTENTION ALL PROFESSIONALS. Your EARLIEST VIEWING IS HIGHLY RECOMMENDED to secure this TWO BEDROOM, top floor RIVERSIDE apartment offering WONDERFUL RIVER VIEWS FROM EVERY ROOM.The accommodation forms part of the SOUGHT AFTER RIVERSIDE King Henry Wharf development located close to Wool...</t>
        </is>
      </c>
      <c r="J43" t="inlineStr">
        <is>
          <t>https://www.rightmove.co.uk/properties/167808686#/?channel=RES_LET</t>
        </is>
      </c>
      <c r="K43" t="inlineStr">
        <is>
          <t>/property-to-rent/contactBranch.html?propertyId=167808686</t>
        </is>
      </c>
      <c r="L43" t="inlineStr">
        <is>
          <t>Harrison Ingram, Eltham</t>
        </is>
      </c>
      <c r="M43" t="n">
        <v>12256</v>
      </c>
      <c r="N43" t="inlineStr">
        <is>
          <t>Reduced today</t>
        </is>
      </c>
      <c r="O43" t="inlineStr">
        <is>
          <t>2025-10-04T12:15:35Z</t>
        </is>
      </c>
      <c r="Q43" t="inlineStr">
        <is>
          <t>SE18</t>
        </is>
      </c>
      <c r="R43" t="inlineStr">
        <is>
          <t>2025-10-16T17:42:12.600743</t>
        </is>
      </c>
      <c r="S43" t="inlineStr">
        <is>
          <t>{'let available date': 'Now', 'deposit': '£1,846', 'min. tenancy': '12 months', 'let type': 'Long term', 'furnish type': 'Unfurnished', 'council tax': 'Ask agent'}</t>
        </is>
      </c>
      <c r="V43" t="b">
        <v>1</v>
      </c>
      <c r="X43" t="n">
        <v>20.83</v>
      </c>
      <c r="Y43" t="n">
        <v>51.8</v>
      </c>
      <c r="Z43">
        <f>IF(AND(ISNUMBER(B43), ISNUMBER(MIN(B$2:B$486)), ISNUMBER(MAX(B$2:B$486))), IF(MAX(B$2:B$486)=MIN(B$2:B$486), 50, ROUND((MAX(B$2:B$486)-B43)/(MAX(B$2:B$486)-MIN(B$2:B$486))*100, 2)), "")</f>
        <v/>
      </c>
      <c r="AA43">
        <f>IF(AND(ISNUMBER(X43), ISNUMBER(MIN(X$2:X$486)), ISNUMBER(MAX(X$2:X$486))), IF(MAX(X$2:X$486)=MIN(X$2:X$486), 50, ROUND((MAX(X$2:X$486)-X43)/(MAX(X$2:X$486)-MIN(X$2:X$486))*100, 2)), "")</f>
        <v/>
      </c>
      <c r="AB43">
        <f>IF(AND(ISNUMBER(U43), ISNUMBER(MIN(U$2:U$486)), ISNUMBER(MAX(U$2:U$486))), IF(MAX(U$2:U$486)=MIN(U$2:U$486), 50, ROUND((U43-MIN(U$2:U$486))/(MAX(U$2:U$486)-MIN(U$2:U$486))*100, 2)), "")</f>
        <v/>
      </c>
      <c r="AC43">
        <f>IF(AND(ISNUMBER(Z43), ISNUMBER(AA43), ISNUMBER(AB43)), ROUND((Z43+AA43+AB43)/3, 2), "")</f>
        <v/>
      </c>
    </row>
    <row r="44">
      <c r="A44" t="n">
        <v>167813363</v>
      </c>
      <c r="B44" t="n">
        <v>1500</v>
      </c>
      <c r="C44" t="inlineStr">
        <is>
          <t>£1,500 pcm</t>
        </is>
      </c>
      <c r="D44" t="inlineStr">
        <is>
          <t>monthly</t>
        </is>
      </c>
      <c r="E44" t="inlineStr">
        <is>
          <t>Apartment</t>
        </is>
      </c>
      <c r="F44" t="n">
        <v>2</v>
      </c>
      <c r="G44" t="n">
        <v>2</v>
      </c>
      <c r="H44" t="inlineStr">
        <is>
          <t>The Crescent Sutton SM2</t>
        </is>
      </c>
      <c r="I44" t="inlineStr">
        <is>
          <t>Suitable for a professional couple, this 2 bedroom, 2 bathroom flat boasts a private patio, communal gardens and off street parking.</t>
        </is>
      </c>
      <c r="J44" t="inlineStr">
        <is>
          <t>https://www.rightmove.co.uk/properties/167813363#/?channel=RES_LET</t>
        </is>
      </c>
      <c r="K44" t="inlineStr">
        <is>
          <t>/property-to-rent/contactBranch.html?propertyId=167813363</t>
        </is>
      </c>
      <c r="L44" t="inlineStr">
        <is>
          <t>Cubitt &amp; West Residential Lettings, Sutton</t>
        </is>
      </c>
      <c r="M44" t="n">
        <v>82928</v>
      </c>
      <c r="N44" t="inlineStr">
        <is>
          <t>Reduced today</t>
        </is>
      </c>
      <c r="O44" t="inlineStr">
        <is>
          <t>2025-10-04T16:20:41Z</t>
        </is>
      </c>
      <c r="Q44" t="inlineStr">
        <is>
          <t>SM2</t>
        </is>
      </c>
      <c r="R44" t="inlineStr">
        <is>
          <t>2025-10-16T17:42:12.600746</t>
        </is>
      </c>
      <c r="S44" t="inlineStr">
        <is>
          <t>{'let available date': '22/11/2025', 'deposit': '£1,731', 'min. tenancy': 'Ask agent', 'let type': 'Long term', 'furnish type': 'Unfurnished', 'council tax': 'Ask agent'}</t>
        </is>
      </c>
      <c r="V44" t="b">
        <v>1</v>
      </c>
      <c r="X44" t="n">
        <v>24.26</v>
      </c>
      <c r="Y44" t="n">
        <v>66.3</v>
      </c>
      <c r="Z44">
        <f>IF(AND(ISNUMBER(B44), ISNUMBER(MIN(B$2:B$486)), ISNUMBER(MAX(B$2:B$486))), IF(MAX(B$2:B$486)=MIN(B$2:B$486), 50, ROUND((MAX(B$2:B$486)-B44)/(MAX(B$2:B$486)-MIN(B$2:B$486))*100, 2)), "")</f>
        <v/>
      </c>
      <c r="AA44">
        <f>IF(AND(ISNUMBER(X44), ISNUMBER(MIN(X$2:X$486)), ISNUMBER(MAX(X$2:X$486))), IF(MAX(X$2:X$486)=MIN(X$2:X$486), 50, ROUND((MAX(X$2:X$486)-X44)/(MAX(X$2:X$486)-MIN(X$2:X$486))*100, 2)), "")</f>
        <v/>
      </c>
      <c r="AB44">
        <f>IF(AND(ISNUMBER(U44), ISNUMBER(MIN(U$2:U$486)), ISNUMBER(MAX(U$2:U$486))), IF(MAX(U$2:U$486)=MIN(U$2:U$486), 50, ROUND((U44-MIN(U$2:U$486))/(MAX(U$2:U$486)-MIN(U$2:U$486))*100, 2)), "")</f>
        <v/>
      </c>
      <c r="AC44">
        <f>IF(AND(ISNUMBER(Z44), ISNUMBER(AA44), ISNUMBER(AB44)), ROUND((Z44+AA44+AB44)/3, 2), "")</f>
        <v/>
      </c>
    </row>
    <row r="45">
      <c r="A45" t="n">
        <v>168239273</v>
      </c>
      <c r="B45" t="n">
        <v>1500</v>
      </c>
      <c r="C45" t="inlineStr">
        <is>
          <t>£1,500 pcm</t>
        </is>
      </c>
      <c r="D45" t="inlineStr">
        <is>
          <t>monthly</t>
        </is>
      </c>
      <c r="E45" t="inlineStr">
        <is>
          <t>Flat</t>
        </is>
      </c>
      <c r="F45" t="n">
        <v>2</v>
      </c>
      <c r="G45" t="n">
        <v>0</v>
      </c>
      <c r="H45" t="inlineStr">
        <is>
          <t>Sydenham Road, Sydenham</t>
        </is>
      </c>
      <c r="I45" t="inlineStr">
        <is>
          <t>Spacious and NEWLY RENOVATED two bedroom flat to rent on Sydenham Rd through Property World. This gorgeous flat is spacious, with generous rooms and beautifully proportined accommodation throughout. Flooded in light, the flat benefits from a NEW KITCHEN, NEW BATHROOM, NEW FLOORING, NEW PAINTWORK ...</t>
        </is>
      </c>
      <c r="J45" t="inlineStr">
        <is>
          <t>https://www.rightmove.co.uk/properties/168239273#/?channel=RES_LET</t>
        </is>
      </c>
      <c r="K45" t="inlineStr">
        <is>
          <t>/property-to-rent/contactBranch.html?propertyId=168239273</t>
        </is>
      </c>
      <c r="L45" t="inlineStr">
        <is>
          <t>Property World, Sydenham - Lettings</t>
        </is>
      </c>
      <c r="M45" t="n">
        <v>6232</v>
      </c>
      <c r="N45" t="inlineStr">
        <is>
          <t>Added today</t>
        </is>
      </c>
      <c r="O45" t="inlineStr">
        <is>
          <t>2025-10-16T08:05:06Z</t>
        </is>
      </c>
      <c r="R45" t="inlineStr">
        <is>
          <t>2025-10-16T17:42:12.600749</t>
        </is>
      </c>
      <c r="S45" t="inlineStr">
        <is>
          <t>{'let available date': '15/11/2025', 'deposit': '£1,726', 'min. tenancy': '6 months', 'let type': 'Long term', 'furnish type': 'Unfurnished', 'council tax': 'Ask agent'}</t>
        </is>
      </c>
      <c r="V45" t="b">
        <v>1</v>
      </c>
      <c r="X45" t="n">
        <v>14.62</v>
      </c>
      <c r="Y45" t="n">
        <v>52.1</v>
      </c>
      <c r="Z45">
        <f>IF(AND(ISNUMBER(B45), ISNUMBER(MIN(B$2:B$486)), ISNUMBER(MAX(B$2:B$486))), IF(MAX(B$2:B$486)=MIN(B$2:B$486), 50, ROUND((MAX(B$2:B$486)-B45)/(MAX(B$2:B$486)-MIN(B$2:B$486))*100, 2)), "")</f>
        <v/>
      </c>
      <c r="AA45">
        <f>IF(AND(ISNUMBER(X45), ISNUMBER(MIN(X$2:X$486)), ISNUMBER(MAX(X$2:X$486))), IF(MAX(X$2:X$486)=MIN(X$2:X$486), 50, ROUND((MAX(X$2:X$486)-X45)/(MAX(X$2:X$486)-MIN(X$2:X$486))*100, 2)), "")</f>
        <v/>
      </c>
      <c r="AB45">
        <f>IF(AND(ISNUMBER(U45), ISNUMBER(MIN(U$2:U$486)), ISNUMBER(MAX(U$2:U$486))), IF(MAX(U$2:U$486)=MIN(U$2:U$486), 50, ROUND((U45-MIN(U$2:U$486))/(MAX(U$2:U$486)-MIN(U$2:U$486))*100, 2)), "")</f>
        <v/>
      </c>
      <c r="AC45">
        <f>IF(AND(ISNUMBER(Z45), ISNUMBER(AA45), ISNUMBER(AB45)), ROUND((Z45+AA45+AB45)/3, 2), "")</f>
        <v/>
      </c>
    </row>
    <row r="46">
      <c r="A46" t="n">
        <v>168230867</v>
      </c>
      <c r="B46" t="n">
        <v>1450</v>
      </c>
      <c r="C46" t="inlineStr">
        <is>
          <t>£1,450 pcm</t>
        </is>
      </c>
      <c r="D46" t="inlineStr">
        <is>
          <t>monthly</t>
        </is>
      </c>
      <c r="E46" t="inlineStr">
        <is>
          <t>Flat</t>
        </is>
      </c>
      <c r="F46" t="n">
        <v>2</v>
      </c>
      <c r="G46" t="n">
        <v>1</v>
      </c>
      <c r="H46" t="inlineStr">
        <is>
          <t>Ajax Avenue, London, NW9</t>
        </is>
      </c>
      <c r="I46" t="inlineStr">
        <is>
          <t>Very nice spacious 2 bedroom flat on the ground floor, 2 double bedroom's, fully integrated kitcehn, separate living room, shower room and WC. Available immediately, 5 minute walk to Colindale station</t>
        </is>
      </c>
      <c r="J46" t="inlineStr">
        <is>
          <t>https://www.rightmove.co.uk/properties/168230867#/?channel=RES_LET</t>
        </is>
      </c>
      <c r="K46" t="inlineStr">
        <is>
          <t>/property-to-rent/contactBranch.html?propertyId=168230867</t>
        </is>
      </c>
      <c r="L46" t="inlineStr">
        <is>
          <t>Live London Estates, Golders Green</t>
        </is>
      </c>
      <c r="M46" t="n">
        <v>141884</v>
      </c>
      <c r="N46" t="inlineStr">
        <is>
          <t>Reduced yesterday</t>
        </is>
      </c>
      <c r="O46" t="inlineStr">
        <is>
          <t>2025-10-15T23:30:45Z</t>
        </is>
      </c>
      <c r="Q46" t="inlineStr">
        <is>
          <t>NW9</t>
        </is>
      </c>
      <c r="R46" t="inlineStr">
        <is>
          <t>2025-10-16T17:42:12.600751</t>
        </is>
      </c>
      <c r="S46" t="inlineStr">
        <is>
          <t>{'let available date': 'Now', 'deposit': '£1,450', 'min. tenancy': 'Ask agent', 'let type': 'Long term', 'furnish type': 'Furnished or unfurnished, landlord is flexible', 'council tax': 'Ask agent'}</t>
        </is>
      </c>
      <c r="V46" t="b">
        <v>1</v>
      </c>
      <c r="X46" t="n">
        <v>15.5</v>
      </c>
      <c r="Y46" t="n">
        <v>45.8</v>
      </c>
      <c r="Z46">
        <f>IF(AND(ISNUMBER(B46), ISNUMBER(MIN(B$2:B$486)), ISNUMBER(MAX(B$2:B$486))), IF(MAX(B$2:B$486)=MIN(B$2:B$486), 50, ROUND((MAX(B$2:B$486)-B46)/(MAX(B$2:B$486)-MIN(B$2:B$486))*100, 2)), "")</f>
        <v/>
      </c>
      <c r="AA46">
        <f>IF(AND(ISNUMBER(X46), ISNUMBER(MIN(X$2:X$486)), ISNUMBER(MAX(X$2:X$486))), IF(MAX(X$2:X$486)=MIN(X$2:X$486), 50, ROUND((MAX(X$2:X$486)-X46)/(MAX(X$2:X$486)-MIN(X$2:X$486))*100, 2)), "")</f>
        <v/>
      </c>
      <c r="AB46">
        <f>IF(AND(ISNUMBER(U46), ISNUMBER(MIN(U$2:U$486)), ISNUMBER(MAX(U$2:U$486))), IF(MAX(U$2:U$486)=MIN(U$2:U$486), 50, ROUND((U46-MIN(U$2:U$486))/(MAX(U$2:U$486)-MIN(U$2:U$486))*100, 2)), "")</f>
        <v/>
      </c>
      <c r="AC46">
        <f>IF(AND(ISNUMBER(Z46), ISNUMBER(AA46), ISNUMBER(AB46)), ROUND((Z46+AA46+AB46)/3, 2), "")</f>
        <v/>
      </c>
    </row>
    <row r="47">
      <c r="A47" t="n">
        <v>168229691</v>
      </c>
      <c r="B47" t="n">
        <v>1700</v>
      </c>
      <c r="C47" t="inlineStr">
        <is>
          <t>£1,700 pcm</t>
        </is>
      </c>
      <c r="D47" t="inlineStr">
        <is>
          <t>monthly</t>
        </is>
      </c>
      <c r="E47" t="inlineStr">
        <is>
          <t>Flat</t>
        </is>
      </c>
      <c r="F47" t="n">
        <v>2</v>
      </c>
      <c r="G47" t="n">
        <v>1</v>
      </c>
      <c r="H47" t="inlineStr">
        <is>
          <t>Footscray Road, London, SE9</t>
        </is>
      </c>
      <c r="I47" t="inlineStr">
        <is>
          <t>2 Bed Flat, Footscray Road, SE9 We are proud to offer this delightful 2 bedroom, 1 bathroom flat in a great location. Available to move in from 28 November 2025, this property benefits from avai... ** Property Reference: 2659775 **</t>
        </is>
      </c>
      <c r="J47" t="inlineStr">
        <is>
          <t>https://www.rightmove.co.uk/properties/168229691#/?channel=RES_LET</t>
        </is>
      </c>
      <c r="K47" t="inlineStr">
        <is>
          <t>/property-to-rent/contactBranch.html?propertyId=168229691</t>
        </is>
      </c>
      <c r="L47" t="inlineStr">
        <is>
          <t>OpenRent, London</t>
        </is>
      </c>
      <c r="M47" t="n">
        <v>96668</v>
      </c>
      <c r="N47" t="inlineStr">
        <is>
          <t>Added yesterday</t>
        </is>
      </c>
      <c r="O47" t="inlineStr">
        <is>
          <t>2025-10-15T21:09:38Z</t>
        </is>
      </c>
      <c r="Q47" t="inlineStr">
        <is>
          <t>SE9</t>
        </is>
      </c>
      <c r="R47" t="inlineStr">
        <is>
          <t>2025-10-16T17:42:12.600754</t>
        </is>
      </c>
      <c r="S47" t="inlineStr">
        <is>
          <t>{'let available date': '28/11/2025', 'deposit': '£1,960', 'min. tenancy': 'Ask agent', 'let type': 'Long term', 'furnish type': 'Unfurnished', 'council tax': 'Ask agent'}</t>
        </is>
      </c>
      <c r="V47" t="b">
        <v>1</v>
      </c>
      <c r="X47" t="n">
        <v>22.55</v>
      </c>
      <c r="Y47" t="n">
        <v>51.8</v>
      </c>
      <c r="Z47">
        <f>IF(AND(ISNUMBER(B47), ISNUMBER(MIN(B$2:B$486)), ISNUMBER(MAX(B$2:B$486))), IF(MAX(B$2:B$486)=MIN(B$2:B$486), 50, ROUND((MAX(B$2:B$486)-B47)/(MAX(B$2:B$486)-MIN(B$2:B$486))*100, 2)), "")</f>
        <v/>
      </c>
      <c r="AA47">
        <f>IF(AND(ISNUMBER(X47), ISNUMBER(MIN(X$2:X$486)), ISNUMBER(MAX(X$2:X$486))), IF(MAX(X$2:X$486)=MIN(X$2:X$486), 50, ROUND((MAX(X$2:X$486)-X47)/(MAX(X$2:X$486)-MIN(X$2:X$486))*100, 2)), "")</f>
        <v/>
      </c>
      <c r="AB47">
        <f>IF(AND(ISNUMBER(U47), ISNUMBER(MIN(U$2:U$486)), ISNUMBER(MAX(U$2:U$486))), IF(MAX(U$2:U$486)=MIN(U$2:U$486), 50, ROUND((U47-MIN(U$2:U$486))/(MAX(U$2:U$486)-MIN(U$2:U$486))*100, 2)), "")</f>
        <v/>
      </c>
      <c r="AC47">
        <f>IF(AND(ISNUMBER(Z47), ISNUMBER(AA47), ISNUMBER(AB47)), ROUND((Z47+AA47+AB47)/3, 2), "")</f>
        <v/>
      </c>
    </row>
    <row r="48">
      <c r="A48" t="n">
        <v>168227093</v>
      </c>
      <c r="B48" t="n">
        <v>1750</v>
      </c>
      <c r="C48" t="inlineStr">
        <is>
          <t>£1,750 pcm</t>
        </is>
      </c>
      <c r="D48" t="inlineStr">
        <is>
          <t>monthly</t>
        </is>
      </c>
      <c r="E48" t="inlineStr">
        <is>
          <t>Flat</t>
        </is>
      </c>
      <c r="F48" t="n">
        <v>2</v>
      </c>
      <c r="G48" t="n">
        <v>1</v>
      </c>
      <c r="H48" t="inlineStr">
        <is>
          <t>Stanley Park Road, Wallington, SM6</t>
        </is>
      </c>
      <c r="I48" t="inlineStr">
        <is>
          <t>Well presented, ground floor, 2 bed, 1 bath flat with a BRAND NEW bathroom and a modern kitchen in Stanley Park Road, Wallington SM6. Ideally located close to Wallington train station, several sou... ** Property Reference: 2660558 **</t>
        </is>
      </c>
      <c r="J48" t="inlineStr">
        <is>
          <t>https://www.rightmove.co.uk/properties/168227093#/?channel=RES_LET</t>
        </is>
      </c>
      <c r="K48" t="inlineStr">
        <is>
          <t>/property-to-rent/contactBranch.html?propertyId=168227093</t>
        </is>
      </c>
      <c r="L48" t="inlineStr">
        <is>
          <t>OpenRent, London</t>
        </is>
      </c>
      <c r="M48" t="n">
        <v>96668</v>
      </c>
      <c r="N48" t="inlineStr">
        <is>
          <t>Added yesterday</t>
        </is>
      </c>
      <c r="O48" t="inlineStr">
        <is>
          <t>2025-10-15T18:11:14Z</t>
        </is>
      </c>
      <c r="Q48" t="inlineStr">
        <is>
          <t>SM6</t>
        </is>
      </c>
      <c r="R48" t="inlineStr">
        <is>
          <t>2025-10-16T17:42:12.600757</t>
        </is>
      </c>
      <c r="S48" t="inlineStr">
        <is>
          <t>{'let available date': '18/10/2025', 'deposit': '£2,019', 'min. tenancy': 'Ask agent', 'let type': 'Long term', 'furnish type': 'Unfurnished', 'council tax': 'Ask agent'}</t>
        </is>
      </c>
      <c r="V48" t="b">
        <v>1</v>
      </c>
      <c r="X48" t="n">
        <v>20.45</v>
      </c>
      <c r="Y48" t="n">
        <v>64.59999999999999</v>
      </c>
      <c r="Z48">
        <f>IF(AND(ISNUMBER(B48), ISNUMBER(MIN(B$2:B$486)), ISNUMBER(MAX(B$2:B$486))), IF(MAX(B$2:B$486)=MIN(B$2:B$486), 50, ROUND((MAX(B$2:B$486)-B48)/(MAX(B$2:B$486)-MIN(B$2:B$486))*100, 2)), "")</f>
        <v/>
      </c>
      <c r="AA48">
        <f>IF(AND(ISNUMBER(X48), ISNUMBER(MIN(X$2:X$486)), ISNUMBER(MAX(X$2:X$486))), IF(MAX(X$2:X$486)=MIN(X$2:X$486), 50, ROUND((MAX(X$2:X$486)-X48)/(MAX(X$2:X$486)-MIN(X$2:X$486))*100, 2)), "")</f>
        <v/>
      </c>
      <c r="AB48">
        <f>IF(AND(ISNUMBER(U48), ISNUMBER(MIN(U$2:U$486)), ISNUMBER(MAX(U$2:U$486))), IF(MAX(U$2:U$486)=MIN(U$2:U$486), 50, ROUND((U48-MIN(U$2:U$486))/(MAX(U$2:U$486)-MIN(U$2:U$486))*100, 2)), "")</f>
        <v/>
      </c>
      <c r="AC48">
        <f>IF(AND(ISNUMBER(Z48), ISNUMBER(AA48), ISNUMBER(AB48)), ROUND((Z48+AA48+AB48)/3, 2), "")</f>
        <v/>
      </c>
    </row>
    <row r="49">
      <c r="A49" t="n">
        <v>168040472</v>
      </c>
      <c r="B49" t="n">
        <v>346</v>
      </c>
      <c r="C49" t="inlineStr">
        <is>
          <t>£1,499 pcm</t>
        </is>
      </c>
      <c r="D49" t="inlineStr">
        <is>
          <t>weekly</t>
        </is>
      </c>
      <c r="E49" t="inlineStr">
        <is>
          <t>Flat</t>
        </is>
      </c>
      <c r="F49" t="n">
        <v>2</v>
      </c>
      <c r="G49" t="n">
        <v>1</v>
      </c>
      <c r="H49" t="inlineStr">
        <is>
          <t>High Street, South Norwood</t>
        </is>
      </c>
      <c r="I49" t="inlineStr">
        <is>
          <t>Absolute Living are delighted to market this bright and spacious two bed flat close to Norwood Junction Station. The property comes furnished and is Available Now.</t>
        </is>
      </c>
      <c r="J49" t="inlineStr">
        <is>
          <t>https://www.rightmove.co.uk/properties/168040472#/?channel=RES_LET</t>
        </is>
      </c>
      <c r="K49" t="inlineStr">
        <is>
          <t>/property-to-rent/contactBranch.html?propertyId=168040472</t>
        </is>
      </c>
      <c r="L49" t="inlineStr">
        <is>
          <t>Absolute Living, London</t>
        </is>
      </c>
      <c r="M49" t="n">
        <v>91853</v>
      </c>
      <c r="N49" t="inlineStr">
        <is>
          <t>Reduced yesterday</t>
        </is>
      </c>
      <c r="O49" t="inlineStr">
        <is>
          <t>2025-10-09T14:48:39Z</t>
        </is>
      </c>
      <c r="R49" t="inlineStr">
        <is>
          <t>2025-10-16T17:42:12.600760</t>
        </is>
      </c>
      <c r="S49" t="inlineStr">
        <is>
          <t>{'let available date': '18/10/2025', 'deposit': '£1,730', 'min. tenancy': 'Ask agent', 'let type': 'Long term', 'furnish type': 'Furnished', 'council tax': 'Ask agent'}</t>
        </is>
      </c>
      <c r="V49" t="b">
        <v>1</v>
      </c>
      <c r="X49" t="n">
        <v>16.31</v>
      </c>
      <c r="Y49" t="n">
        <v>51.1</v>
      </c>
      <c r="Z49">
        <f>IF(AND(ISNUMBER(B49), ISNUMBER(MIN(B$2:B$486)), ISNUMBER(MAX(B$2:B$486))), IF(MAX(B$2:B$486)=MIN(B$2:B$486), 50, ROUND((MAX(B$2:B$486)-B49)/(MAX(B$2:B$486)-MIN(B$2:B$486))*100, 2)), "")</f>
        <v/>
      </c>
      <c r="AA49">
        <f>IF(AND(ISNUMBER(X49), ISNUMBER(MIN(X$2:X$486)), ISNUMBER(MAX(X$2:X$486))), IF(MAX(X$2:X$486)=MIN(X$2:X$486), 50, ROUND((MAX(X$2:X$486)-X49)/(MAX(X$2:X$486)-MIN(X$2:X$486))*100, 2)), "")</f>
        <v/>
      </c>
      <c r="AB49">
        <f>IF(AND(ISNUMBER(U49), ISNUMBER(MIN(U$2:U$486)), ISNUMBER(MAX(U$2:U$486))), IF(MAX(U$2:U$486)=MIN(U$2:U$486), 50, ROUND((U49-MIN(U$2:U$486))/(MAX(U$2:U$486)-MIN(U$2:U$486))*100, 2)), "")</f>
        <v/>
      </c>
      <c r="AC49">
        <f>IF(AND(ISNUMBER(Z49), ISNUMBER(AA49), ISNUMBER(AB49)), ROUND((Z49+AA49+AB49)/3, 2), "")</f>
        <v/>
      </c>
    </row>
    <row r="50">
      <c r="A50" t="n">
        <v>168226184</v>
      </c>
      <c r="B50" t="n">
        <v>1650</v>
      </c>
      <c r="C50" t="inlineStr">
        <is>
          <t>£1,650 pcm</t>
        </is>
      </c>
      <c r="D50" t="inlineStr">
        <is>
          <t>monthly</t>
        </is>
      </c>
      <c r="E50" t="inlineStr">
        <is>
          <t>Apartment</t>
        </is>
      </c>
      <c r="F50" t="n">
        <v>2</v>
      </c>
      <c r="G50" t="n">
        <v>2</v>
      </c>
      <c r="H50" t="inlineStr">
        <is>
          <t>Davies Close, Addiscombe</t>
        </is>
      </c>
      <c r="I50" t="inlineStr">
        <is>
          <t>Oaks Estate Agents are delighted to present to the market this beautiful two-bedroom, two-bathroom, second-floor apartment with allocated parking space situated in the heart of Addiscombe, close to Norwood Junction station and Blackhorse Lane tram stop.</t>
        </is>
      </c>
      <c r="J50" t="inlineStr">
        <is>
          <t>https://www.rightmove.co.uk/properties/168226184#/?channel=RES_LET</t>
        </is>
      </c>
      <c r="K50" t="inlineStr">
        <is>
          <t>/property-to-rent/contactBranch.html?propertyId=168226184</t>
        </is>
      </c>
      <c r="L50" t="inlineStr">
        <is>
          <t>Oaks Estate Agents, Croydon- Lettings</t>
        </is>
      </c>
      <c r="M50" t="n">
        <v>235208</v>
      </c>
      <c r="N50" t="inlineStr">
        <is>
          <t>Added yesterday</t>
        </is>
      </c>
      <c r="O50" t="inlineStr">
        <is>
          <t>2025-10-15T17:49:26Z</t>
        </is>
      </c>
      <c r="R50" t="inlineStr">
        <is>
          <t>2025-10-16T17:42:12.600763</t>
        </is>
      </c>
      <c r="S50" t="inlineStr">
        <is>
          <t>{'let available date': '22/11/2025', 'deposit': '£1,903', 'min. tenancy': 'Ask agent', 'let type': 'Long term', 'furnish type': 'Ask agent', 'council tax': 'Ask agent'}</t>
        </is>
      </c>
      <c r="V50" t="b">
        <v>1</v>
      </c>
      <c r="X50" t="n">
        <v>18.17</v>
      </c>
      <c r="Y50" t="n">
        <v>55.9</v>
      </c>
      <c r="Z50">
        <f>IF(AND(ISNUMBER(B50), ISNUMBER(MIN(B$2:B$486)), ISNUMBER(MAX(B$2:B$486))), IF(MAX(B$2:B$486)=MIN(B$2:B$486), 50, ROUND((MAX(B$2:B$486)-B50)/(MAX(B$2:B$486)-MIN(B$2:B$486))*100, 2)), "")</f>
        <v/>
      </c>
      <c r="AA50">
        <f>IF(AND(ISNUMBER(X50), ISNUMBER(MIN(X$2:X$486)), ISNUMBER(MAX(X$2:X$486))), IF(MAX(X$2:X$486)=MIN(X$2:X$486), 50, ROUND((MAX(X$2:X$486)-X50)/(MAX(X$2:X$486)-MIN(X$2:X$486))*100, 2)), "")</f>
        <v/>
      </c>
      <c r="AB50">
        <f>IF(AND(ISNUMBER(U50), ISNUMBER(MIN(U$2:U$486)), ISNUMBER(MAX(U$2:U$486))), IF(MAX(U$2:U$486)=MIN(U$2:U$486), 50, ROUND((U50-MIN(U$2:U$486))/(MAX(U$2:U$486)-MIN(U$2:U$486))*100, 2)), "")</f>
        <v/>
      </c>
      <c r="AC50">
        <f>IF(AND(ISNUMBER(Z50), ISNUMBER(AA50), ISNUMBER(AB50)), ROUND((Z50+AA50+AB50)/3, 2), "")</f>
        <v/>
      </c>
    </row>
    <row r="51">
      <c r="A51" t="n">
        <v>168224954</v>
      </c>
      <c r="B51" t="n">
        <v>1500</v>
      </c>
      <c r="C51" t="inlineStr">
        <is>
          <t>£1,500 pcm</t>
        </is>
      </c>
      <c r="D51" t="inlineStr">
        <is>
          <t>monthly</t>
        </is>
      </c>
      <c r="E51" t="inlineStr">
        <is>
          <t>Flat</t>
        </is>
      </c>
      <c r="F51" t="n">
        <v>2</v>
      </c>
      <c r="G51" t="n">
        <v>1</v>
      </c>
      <c r="H51" t="inlineStr">
        <is>
          <t>Tufton Road, London</t>
        </is>
      </c>
      <c r="I51" t="inlineStr">
        <is>
          <t>Kings are delighted to offer to rent this 2 bedroom apartment located in Chingford Mount. Put on the market in excellent condition this property benefits from a fully fitted kitchen supplied with white goods, modern interior throughout, gas central heating and 2 double bedrooms. A must see p...</t>
        </is>
      </c>
      <c r="J51" t="inlineStr">
        <is>
          <t>https://www.rightmove.co.uk/properties/168224954#/?channel=RES_LET</t>
        </is>
      </c>
      <c r="K51" t="inlineStr">
        <is>
          <t>/property-to-rent/contactBranch.html?propertyId=168224954</t>
        </is>
      </c>
      <c r="L51" t="inlineStr">
        <is>
          <t>Kings Group, Walthamstow - Lettings</t>
        </is>
      </c>
      <c r="M51" t="n">
        <v>28985</v>
      </c>
      <c r="N51" t="inlineStr">
        <is>
          <t>Added yesterday</t>
        </is>
      </c>
      <c r="O51" t="inlineStr">
        <is>
          <t>2025-10-15T17:27:06Z</t>
        </is>
      </c>
      <c r="R51" t="inlineStr">
        <is>
          <t>2025-10-16T17:42:12.600765</t>
        </is>
      </c>
      <c r="S51" t="inlineStr">
        <is>
          <t>{'let available date': '03/11/2025', 'deposit': 'Ask agent', 'min. tenancy': 'Ask agent', 'let type': 'Long term', 'furnish type': 'Unfurnished', 'council tax': 'Ask agent'}</t>
        </is>
      </c>
      <c r="V51" t="b">
        <v>1</v>
      </c>
      <c r="X51" t="n">
        <v>18.35</v>
      </c>
      <c r="Y51" t="n">
        <v>57.2</v>
      </c>
      <c r="Z51">
        <f>IF(AND(ISNUMBER(B51), ISNUMBER(MIN(B$2:B$486)), ISNUMBER(MAX(B$2:B$486))), IF(MAX(B$2:B$486)=MIN(B$2:B$486), 50, ROUND((MAX(B$2:B$486)-B51)/(MAX(B$2:B$486)-MIN(B$2:B$486))*100, 2)), "")</f>
        <v/>
      </c>
      <c r="AA51">
        <f>IF(AND(ISNUMBER(X51), ISNUMBER(MIN(X$2:X$486)), ISNUMBER(MAX(X$2:X$486))), IF(MAX(X$2:X$486)=MIN(X$2:X$486), 50, ROUND((MAX(X$2:X$486)-X51)/(MAX(X$2:X$486)-MIN(X$2:X$486))*100, 2)), "")</f>
        <v/>
      </c>
      <c r="AB51">
        <f>IF(AND(ISNUMBER(U51), ISNUMBER(MIN(U$2:U$486)), ISNUMBER(MAX(U$2:U$486))), IF(MAX(U$2:U$486)=MIN(U$2:U$486), 50, ROUND((U51-MIN(U$2:U$486))/(MAX(U$2:U$486)-MIN(U$2:U$486))*100, 2)), "")</f>
        <v/>
      </c>
      <c r="AC51">
        <f>IF(AND(ISNUMBER(Z51), ISNUMBER(AA51), ISNUMBER(AB51)), ROUND((Z51+AA51+AB51)/3, 2), "")</f>
        <v/>
      </c>
    </row>
    <row r="52">
      <c r="A52" t="n">
        <v>167431139</v>
      </c>
      <c r="B52" t="n">
        <v>1700</v>
      </c>
      <c r="C52" t="inlineStr">
        <is>
          <t>£1,700 pcm</t>
        </is>
      </c>
      <c r="D52" t="inlineStr">
        <is>
          <t>monthly</t>
        </is>
      </c>
      <c r="E52" t="inlineStr">
        <is>
          <t>Flat</t>
        </is>
      </c>
      <c r="F52" t="n">
        <v>2</v>
      </c>
      <c r="G52" t="n">
        <v>1</v>
      </c>
      <c r="H52" t="inlineStr">
        <is>
          <t>Manwood Road, Crofton Park, SE4</t>
        </is>
      </c>
      <c r="I52" t="inlineStr">
        <is>
          <t>High Spec 2 bed flat in Crofton Park/Catford. Available from 3rd November. Moving Inn are proud to present this beautiful modern first floor 2 bed flat located on Manwood Road in Crofton Park/Catford.</t>
        </is>
      </c>
      <c r="J52" t="inlineStr">
        <is>
          <t>https://www.rightmove.co.uk/properties/167431139#/?channel=RES_LET</t>
        </is>
      </c>
      <c r="K52" t="inlineStr">
        <is>
          <t>/property-to-rent/contactBranch.html?propertyId=167431139</t>
        </is>
      </c>
      <c r="L52" t="inlineStr">
        <is>
          <t>Moving Inn, London</t>
        </is>
      </c>
      <c r="M52" t="n">
        <v>91850</v>
      </c>
      <c r="N52" t="inlineStr">
        <is>
          <t>Added on 25/09/2025</t>
        </is>
      </c>
      <c r="O52" t="inlineStr">
        <is>
          <t>2025-09-25T15:55:05Z</t>
        </is>
      </c>
      <c r="Q52" t="inlineStr">
        <is>
          <t>SE4</t>
        </is>
      </c>
      <c r="R52" t="inlineStr">
        <is>
          <t>2025-10-16T17:42:14.354466</t>
        </is>
      </c>
      <c r="S52" t="inlineStr">
        <is>
          <t>{'let available date': '03/11/2025', 'deposit': '£1,960', 'min. tenancy': '12 months', 'let type': 'Long term', 'furnish type': 'Ask agent', 'council tax': 'Ask agent'}</t>
        </is>
      </c>
      <c r="T52" t="n">
        <v>484</v>
      </c>
      <c r="U52" t="n">
        <v>45</v>
      </c>
      <c r="V52" t="b">
        <v>1</v>
      </c>
      <c r="X52" t="n">
        <v>11.43</v>
      </c>
      <c r="Y52" t="n">
        <v>42.5</v>
      </c>
      <c r="Z52">
        <f>IF(AND(ISNUMBER(B52), ISNUMBER(MIN(B$2:B$486)), ISNUMBER(MAX(B$2:B$486))), IF(MAX(B$2:B$486)=MIN(B$2:B$486), 50, ROUND((MAX(B$2:B$486)-B52)/(MAX(B$2:B$486)-MIN(B$2:B$486))*100, 2)), "")</f>
        <v/>
      </c>
      <c r="AA52">
        <f>IF(AND(ISNUMBER(X52), ISNUMBER(MIN(X$2:X$486)), ISNUMBER(MAX(X$2:X$486))), IF(MAX(X$2:X$486)=MIN(X$2:X$486), 50, ROUND((MAX(X$2:X$486)-X52)/(MAX(X$2:X$486)-MIN(X$2:X$486))*100, 2)), "")</f>
        <v/>
      </c>
      <c r="AB52">
        <f>IF(AND(ISNUMBER(U52), ISNUMBER(MIN(U$2:U$486)), ISNUMBER(MAX(U$2:U$486))), IF(MAX(U$2:U$486)=MIN(U$2:U$486), 50, ROUND((U52-MIN(U$2:U$486))/(MAX(U$2:U$486)-MIN(U$2:U$486))*100, 2)), "")</f>
        <v/>
      </c>
      <c r="AC52">
        <f>IF(AND(ISNUMBER(Z52), ISNUMBER(AA52), ISNUMBER(AB52)), ROUND((Z52+AA52+AB52)/3, 2), "")</f>
        <v/>
      </c>
    </row>
    <row r="53">
      <c r="A53" t="n">
        <v>168224741</v>
      </c>
      <c r="B53" t="n">
        <v>1700</v>
      </c>
      <c r="C53" t="inlineStr">
        <is>
          <t>£1,700 pcm</t>
        </is>
      </c>
      <c r="D53" t="inlineStr">
        <is>
          <t>monthly</t>
        </is>
      </c>
      <c r="E53" t="inlineStr">
        <is>
          <t>Apartment</t>
        </is>
      </c>
      <c r="F53" t="n">
        <v>2</v>
      </c>
      <c r="G53" t="n">
        <v>1</v>
      </c>
      <c r="H53" t="inlineStr">
        <is>
          <t>Flat 34 Reflections, 89-90 Woodcote Road, Wallington, Surrey, SM6</t>
        </is>
      </c>
      <c r="I53" t="inlineStr">
        <is>
          <t>No deposit option available Two bedroom apartment within 0.6 miles to Wallington rail station and town centre.</t>
        </is>
      </c>
      <c r="J53" t="inlineStr">
        <is>
          <t>https://www.rightmove.co.uk/properties/168224741#/?channel=RES_LET</t>
        </is>
      </c>
      <c r="K53" t="inlineStr">
        <is>
          <t>/property-to-rent/contactBranch.html?propertyId=168224741</t>
        </is>
      </c>
      <c r="L53" t="inlineStr">
        <is>
          <t>Andrews Letting and Management, Wallington</t>
        </is>
      </c>
      <c r="M53" t="n">
        <v>34373</v>
      </c>
      <c r="N53" t="inlineStr">
        <is>
          <t>Added yesterday</t>
        </is>
      </c>
      <c r="O53" t="inlineStr">
        <is>
          <t>2025-10-15T17:24:31Z</t>
        </is>
      </c>
      <c r="Q53" t="inlineStr">
        <is>
          <t>SM6</t>
        </is>
      </c>
      <c r="R53" t="inlineStr">
        <is>
          <t>2025-10-16T17:42:14.354488</t>
        </is>
      </c>
      <c r="S53" t="inlineStr">
        <is>
          <t>{'let available date': '18/10/2025', 'deposit': '£1,961', 'min. tenancy': 'Ask agent', 'let type': 'Long term', 'furnish type': 'Unfurnished', 'council tax': 'Ask agent'}</t>
        </is>
      </c>
      <c r="V53" t="b">
        <v>1</v>
      </c>
      <c r="X53" t="n">
        <v>20.45</v>
      </c>
      <c r="Y53" t="n">
        <v>64.59999999999999</v>
      </c>
      <c r="Z53">
        <f>IF(AND(ISNUMBER(B53), ISNUMBER(MIN(B$2:B$486)), ISNUMBER(MAX(B$2:B$486))), IF(MAX(B$2:B$486)=MIN(B$2:B$486), 50, ROUND((MAX(B$2:B$486)-B53)/(MAX(B$2:B$486)-MIN(B$2:B$486))*100, 2)), "")</f>
        <v/>
      </c>
      <c r="AA53">
        <f>IF(AND(ISNUMBER(X53), ISNUMBER(MIN(X$2:X$486)), ISNUMBER(MAX(X$2:X$486))), IF(MAX(X$2:X$486)=MIN(X$2:X$486), 50, ROUND((MAX(X$2:X$486)-X53)/(MAX(X$2:X$486)-MIN(X$2:X$486))*100, 2)), "")</f>
        <v/>
      </c>
      <c r="AB53">
        <f>IF(AND(ISNUMBER(U53), ISNUMBER(MIN(U$2:U$486)), ISNUMBER(MAX(U$2:U$486))), IF(MAX(U$2:U$486)=MIN(U$2:U$486), 50, ROUND((U53-MIN(U$2:U$486))/(MAX(U$2:U$486)-MIN(U$2:U$486))*100, 2)), "")</f>
        <v/>
      </c>
      <c r="AC53">
        <f>IF(AND(ISNUMBER(Z53), ISNUMBER(AA53), ISNUMBER(AB53)), ROUND((Z53+AA53+AB53)/3, 2), "")</f>
        <v/>
      </c>
    </row>
    <row r="54">
      <c r="A54" t="n">
        <v>168223889</v>
      </c>
      <c r="B54" t="n">
        <v>1296</v>
      </c>
      <c r="C54" t="inlineStr">
        <is>
          <t>£1,296 pcm</t>
        </is>
      </c>
      <c r="D54" t="inlineStr">
        <is>
          <t>monthly</t>
        </is>
      </c>
      <c r="E54" t="inlineStr">
        <is>
          <t>Apartment</t>
        </is>
      </c>
      <c r="F54" t="n">
        <v>2</v>
      </c>
      <c r="G54" t="n">
        <v>1</v>
      </c>
      <c r="H54" t="inlineStr">
        <is>
          <t>Shepherd, 91 Miles Road, London, CR4</t>
        </is>
      </c>
      <c r="I54" t="inlineStr">
        <is>
          <t>*KEY WORKER ONLY - 20% Discount applied on full monthly value of £1,620* A spacious flat located on Miles Road in the lovely area of Mitcham. This delightful property boasts an abundance of living and storage space, perfect for a cosy and comfortable living experience. Situated ...</t>
        </is>
      </c>
      <c r="J54" t="inlineStr">
        <is>
          <t>https://www.rightmove.co.uk/properties/168223889#/?channel=RES_LET</t>
        </is>
      </c>
      <c r="K54" t="inlineStr">
        <is>
          <t>/property-to-rent/contactBranch.html?propertyId=168223889</t>
        </is>
      </c>
      <c r="L54" t="inlineStr">
        <is>
          <t>April, London</t>
        </is>
      </c>
      <c r="M54" t="n">
        <v>75126</v>
      </c>
      <c r="N54" t="inlineStr">
        <is>
          <t>Added yesterday</t>
        </is>
      </c>
      <c r="O54" t="inlineStr">
        <is>
          <t>2025-10-15T17:11:14Z</t>
        </is>
      </c>
      <c r="Q54" t="inlineStr">
        <is>
          <t>CR4</t>
        </is>
      </c>
      <c r="R54" t="inlineStr">
        <is>
          <t>2025-10-16T17:42:14.354493</t>
        </is>
      </c>
      <c r="S54" t="inlineStr">
        <is>
          <t>{'let available date': 'Now', 'deposit': '£0', 'min. tenancy': 'Ask agent', 'let type': 'Long term', 'furnish type': 'Unfurnished', 'council tax': 'Ask agent'}</t>
        </is>
      </c>
      <c r="T54" t="n">
        <v>792</v>
      </c>
      <c r="U54" t="n">
        <v>74</v>
      </c>
      <c r="V54" t="b">
        <v>1</v>
      </c>
      <c r="X54" t="n">
        <v>15.31</v>
      </c>
      <c r="Y54" t="n">
        <v>52.6</v>
      </c>
      <c r="Z54">
        <f>IF(AND(ISNUMBER(B54), ISNUMBER(MIN(B$2:B$486)), ISNUMBER(MAX(B$2:B$486))), IF(MAX(B$2:B$486)=MIN(B$2:B$486), 50, ROUND((MAX(B$2:B$486)-B54)/(MAX(B$2:B$486)-MIN(B$2:B$486))*100, 2)), "")</f>
        <v/>
      </c>
      <c r="AA54">
        <f>IF(AND(ISNUMBER(X54), ISNUMBER(MIN(X$2:X$486)), ISNUMBER(MAX(X$2:X$486))), IF(MAX(X$2:X$486)=MIN(X$2:X$486), 50, ROUND((MAX(X$2:X$486)-X54)/(MAX(X$2:X$486)-MIN(X$2:X$486))*100, 2)), "")</f>
        <v/>
      </c>
      <c r="AB54">
        <f>IF(AND(ISNUMBER(U54), ISNUMBER(MIN(U$2:U$486)), ISNUMBER(MAX(U$2:U$486))), IF(MAX(U$2:U$486)=MIN(U$2:U$486), 50, ROUND((U54-MIN(U$2:U$486))/(MAX(U$2:U$486)-MIN(U$2:U$486))*100, 2)), "")</f>
        <v/>
      </c>
      <c r="AC54">
        <f>IF(AND(ISNUMBER(Z54), ISNUMBER(AA54), ISNUMBER(AB54)), ROUND((Z54+AA54+AB54)/3, 2), "")</f>
        <v/>
      </c>
    </row>
    <row r="55">
      <c r="A55" t="n">
        <v>168222914</v>
      </c>
      <c r="B55" t="n">
        <v>1750</v>
      </c>
      <c r="C55" t="inlineStr">
        <is>
          <t>£1,750 pcm</t>
        </is>
      </c>
      <c r="D55" t="inlineStr">
        <is>
          <t>monthly</t>
        </is>
      </c>
      <c r="E55" t="inlineStr">
        <is>
          <t>Flat</t>
        </is>
      </c>
      <c r="F55" t="n">
        <v>2</v>
      </c>
      <c r="G55" t="n">
        <v>1</v>
      </c>
      <c r="H55" t="inlineStr">
        <is>
          <t>The Met Apartments, Lee High Road, London, SE12</t>
        </is>
      </c>
      <c r="I55" t="inlineStr">
        <is>
          <t>*AVAILABLE 2ND NOVEMBER / FIRST FLOOR FLAT / PETS CONSIDERED / ALLOCATED PARKING* This beautiful 2-bedroom flat is PERFECT for a professional couple or small family looking for a cozy long term home. This property features a generously sized open-plan reception area that s...</t>
        </is>
      </c>
      <c r="J55" t="inlineStr">
        <is>
          <t>https://www.rightmove.co.uk/properties/168222914#/?channel=RES_LET</t>
        </is>
      </c>
      <c r="K55" t="inlineStr">
        <is>
          <t>/property-to-rent/contactBranch.html?propertyId=168222914</t>
        </is>
      </c>
      <c r="L55" t="inlineStr">
        <is>
          <t>Robinson Jackson, Lee</t>
        </is>
      </c>
      <c r="M55" t="n">
        <v>246929</v>
      </c>
      <c r="N55" t="inlineStr">
        <is>
          <t>Added yesterday</t>
        </is>
      </c>
      <c r="O55" t="inlineStr">
        <is>
          <t>2025-10-15T16:59:55Z</t>
        </is>
      </c>
      <c r="Q55" t="inlineStr">
        <is>
          <t>SE12</t>
        </is>
      </c>
      <c r="R55" t="inlineStr">
        <is>
          <t>2025-10-16T17:42:14.354496</t>
        </is>
      </c>
      <c r="S55" t="inlineStr">
        <is>
          <t>{'let available date': '13/11/2025', 'deposit': '£2,019', 'min. tenancy': '12 months', 'let type': 'Long term', 'furnish type': 'Unfurnished', 'council tax': 'Ask agent'}</t>
        </is>
      </c>
      <c r="V55" t="b">
        <v>1</v>
      </c>
      <c r="X55" t="n">
        <v>21.38</v>
      </c>
      <c r="Y55" t="n">
        <v>49.5</v>
      </c>
      <c r="Z55">
        <f>IF(AND(ISNUMBER(B55), ISNUMBER(MIN(B$2:B$486)), ISNUMBER(MAX(B$2:B$486))), IF(MAX(B$2:B$486)=MIN(B$2:B$486), 50, ROUND((MAX(B$2:B$486)-B55)/(MAX(B$2:B$486)-MIN(B$2:B$486))*100, 2)), "")</f>
        <v/>
      </c>
      <c r="AA55">
        <f>IF(AND(ISNUMBER(X55), ISNUMBER(MIN(X$2:X$486)), ISNUMBER(MAX(X$2:X$486))), IF(MAX(X$2:X$486)=MIN(X$2:X$486), 50, ROUND((MAX(X$2:X$486)-X55)/(MAX(X$2:X$486)-MIN(X$2:X$486))*100, 2)), "")</f>
        <v/>
      </c>
      <c r="AB55">
        <f>IF(AND(ISNUMBER(U55), ISNUMBER(MIN(U$2:U$486)), ISNUMBER(MAX(U$2:U$486))), IF(MAX(U$2:U$486)=MIN(U$2:U$486), 50, ROUND((U55-MIN(U$2:U$486))/(MAX(U$2:U$486)-MIN(U$2:U$486))*100, 2)), "")</f>
        <v/>
      </c>
      <c r="AC55">
        <f>IF(AND(ISNUMBER(Z55), ISNUMBER(AA55), ISNUMBER(AB55)), ROUND((Z55+AA55+AB55)/3, 2), "")</f>
        <v/>
      </c>
    </row>
    <row r="56">
      <c r="A56" t="n">
        <v>168220781</v>
      </c>
      <c r="B56" t="n">
        <v>1700</v>
      </c>
      <c r="C56" t="inlineStr">
        <is>
          <t>£1,700 pcm</t>
        </is>
      </c>
      <c r="D56" t="inlineStr">
        <is>
          <t>monthly</t>
        </is>
      </c>
      <c r="E56" t="inlineStr">
        <is>
          <t>Flat</t>
        </is>
      </c>
      <c r="F56" t="n">
        <v>2</v>
      </c>
      <c r="G56" t="n">
        <v>1</v>
      </c>
      <c r="H56" t="inlineStr">
        <is>
          <t>Belle Vue Court, 122D Devonshire Road, London, SE23</t>
        </is>
      </c>
      <c r="I56" t="inlineStr">
        <is>
          <t>A stunning two bedroom flat set within an impressive Mansion block on the highly desirable Devonshire Road in Forest Hill (SE23 3SY). This period property offers bright and spacious accommodation with high ceilings and large sash windows throughout.</t>
        </is>
      </c>
      <c r="J56" t="inlineStr">
        <is>
          <t>https://www.rightmove.co.uk/properties/168220781#/?channel=RES_LET</t>
        </is>
      </c>
      <c r="K56" t="inlineStr">
        <is>
          <t>/property-to-rent/contactBranch.html?propertyId=168220781</t>
        </is>
      </c>
      <c r="L56" t="inlineStr">
        <is>
          <t>Leaders Lettings, Forest Hill</t>
        </is>
      </c>
      <c r="M56" t="n">
        <v>37163</v>
      </c>
      <c r="N56" t="inlineStr">
        <is>
          <t>Reduced yesterday</t>
        </is>
      </c>
      <c r="O56" t="inlineStr">
        <is>
          <t>2025-10-15T16:37:18Z</t>
        </is>
      </c>
      <c r="Q56" t="inlineStr">
        <is>
          <t>SE23</t>
        </is>
      </c>
      <c r="R56" t="inlineStr">
        <is>
          <t>2025-10-16T17:42:14.354500</t>
        </is>
      </c>
      <c r="S56" t="inlineStr">
        <is>
          <t>{'let available date': '23/10/2025', 'deposit': 'Ask agent', 'min. tenancy': 'Ask agent', 'let type': 'Long term', 'furnish type': 'Unfurnished', 'council tax': 'Ask agent'}</t>
        </is>
      </c>
      <c r="V56" t="b">
        <v>1</v>
      </c>
      <c r="X56" t="n">
        <v>13.45</v>
      </c>
      <c r="Y56" t="n">
        <v>47.9</v>
      </c>
      <c r="Z56">
        <f>IF(AND(ISNUMBER(B56), ISNUMBER(MIN(B$2:B$486)), ISNUMBER(MAX(B$2:B$486))), IF(MAX(B$2:B$486)=MIN(B$2:B$486), 50, ROUND((MAX(B$2:B$486)-B56)/(MAX(B$2:B$486)-MIN(B$2:B$486))*100, 2)), "")</f>
        <v/>
      </c>
      <c r="AA56">
        <f>IF(AND(ISNUMBER(X56), ISNUMBER(MIN(X$2:X$486)), ISNUMBER(MAX(X$2:X$486))), IF(MAX(X$2:X$486)=MIN(X$2:X$486), 50, ROUND((MAX(X$2:X$486)-X56)/(MAX(X$2:X$486)-MIN(X$2:X$486))*100, 2)), "")</f>
        <v/>
      </c>
      <c r="AB56">
        <f>IF(AND(ISNUMBER(U56), ISNUMBER(MIN(U$2:U$486)), ISNUMBER(MAX(U$2:U$486))), IF(MAX(U$2:U$486)=MIN(U$2:U$486), 50, ROUND((U56-MIN(U$2:U$486))/(MAX(U$2:U$486)-MIN(U$2:U$486))*100, 2)), "")</f>
        <v/>
      </c>
      <c r="AC56">
        <f>IF(AND(ISNUMBER(Z56), ISNUMBER(AA56), ISNUMBER(AB56)), ROUND((Z56+AA56+AB56)/3, 2), "")</f>
        <v/>
      </c>
    </row>
    <row r="57">
      <c r="A57" t="n">
        <v>168220784</v>
      </c>
      <c r="B57" t="n">
        <v>1600</v>
      </c>
      <c r="C57" t="inlineStr">
        <is>
          <t>£1,600 pcm</t>
        </is>
      </c>
      <c r="D57" t="inlineStr">
        <is>
          <t>monthly</t>
        </is>
      </c>
      <c r="E57" t="inlineStr">
        <is>
          <t>Flat</t>
        </is>
      </c>
      <c r="F57" t="n">
        <v>2</v>
      </c>
      <c r="G57" t="n">
        <v>1</v>
      </c>
      <c r="H57" t="inlineStr">
        <is>
          <t>Waldram Park Road, London, SE23</t>
        </is>
      </c>
      <c r="I57" t="inlineStr">
        <is>
          <t>Check out this fab bedroom two bedroom second floor apartment, in a spot on location just a few moments stroll from the heart of all that is Fantastic Forest Hill.</t>
        </is>
      </c>
      <c r="J57" t="inlineStr">
        <is>
          <t>https://www.rightmove.co.uk/properties/168220784#/?channel=RES_LET</t>
        </is>
      </c>
      <c r="K57" t="inlineStr">
        <is>
          <t>/property-to-rent/contactBranch.html?propertyId=168220784</t>
        </is>
      </c>
      <c r="L57" t="inlineStr">
        <is>
          <t>Leaders Lettings, Forest Hill</t>
        </is>
      </c>
      <c r="M57" t="n">
        <v>37163</v>
      </c>
      <c r="N57" t="inlineStr">
        <is>
          <t>Reduced yesterday</t>
        </is>
      </c>
      <c r="O57" t="inlineStr">
        <is>
          <t>2025-10-15T16:37:18Z</t>
        </is>
      </c>
      <c r="Q57" t="inlineStr">
        <is>
          <t>SE23</t>
        </is>
      </c>
      <c r="R57" t="inlineStr">
        <is>
          <t>2025-10-16T17:42:14.354503</t>
        </is>
      </c>
      <c r="S57" t="inlineStr">
        <is>
          <t>{'let available date': 'Now', 'deposit': 'Ask agent', 'min. tenancy': 'Ask agent', 'let type': 'Long term', 'furnish type': 'Unfurnished', 'council tax': 'Ask agent'}</t>
        </is>
      </c>
      <c r="V57" t="b">
        <v>1</v>
      </c>
      <c r="X57" t="n">
        <v>13.45</v>
      </c>
      <c r="Y57" t="n">
        <v>47.9</v>
      </c>
      <c r="Z57">
        <f>IF(AND(ISNUMBER(B57), ISNUMBER(MIN(B$2:B$486)), ISNUMBER(MAX(B$2:B$486))), IF(MAX(B$2:B$486)=MIN(B$2:B$486), 50, ROUND((MAX(B$2:B$486)-B57)/(MAX(B$2:B$486)-MIN(B$2:B$486))*100, 2)), "")</f>
        <v/>
      </c>
      <c r="AA57">
        <f>IF(AND(ISNUMBER(X57), ISNUMBER(MIN(X$2:X$486)), ISNUMBER(MAX(X$2:X$486))), IF(MAX(X$2:X$486)=MIN(X$2:X$486), 50, ROUND((MAX(X$2:X$486)-X57)/(MAX(X$2:X$486)-MIN(X$2:X$486))*100, 2)), "")</f>
        <v/>
      </c>
      <c r="AB57">
        <f>IF(AND(ISNUMBER(U57), ISNUMBER(MIN(U$2:U$486)), ISNUMBER(MAX(U$2:U$486))), IF(MAX(U$2:U$486)=MIN(U$2:U$486), 50, ROUND((U57-MIN(U$2:U$486))/(MAX(U$2:U$486)-MIN(U$2:U$486))*100, 2)), "")</f>
        <v/>
      </c>
      <c r="AC57">
        <f>IF(AND(ISNUMBER(Z57), ISNUMBER(AA57), ISNUMBER(AB57)), ROUND((Z57+AA57+AB57)/3, 2), "")</f>
        <v/>
      </c>
    </row>
    <row r="58">
      <c r="A58" t="n">
        <v>168214097</v>
      </c>
      <c r="B58" t="n">
        <v>1750</v>
      </c>
      <c r="C58" t="inlineStr">
        <is>
          <t>£1,750 pcm</t>
        </is>
      </c>
      <c r="D58" t="inlineStr">
        <is>
          <t>monthly</t>
        </is>
      </c>
      <c r="E58" t="inlineStr">
        <is>
          <t>Flat</t>
        </is>
      </c>
      <c r="F58" t="n">
        <v>2</v>
      </c>
      <c r="G58" t="n">
        <v>1</v>
      </c>
      <c r="H58" t="inlineStr">
        <is>
          <t>Stanley Road, Sutton, SM2</t>
        </is>
      </c>
      <c r="I58" t="inlineStr">
        <is>
          <t>***AVAILABLE NOW – CLICK TO SEE 360 VIRTUAL TOUR – PRIME LOCATION OFF MULGRAVE ROAD CLOSE BY TO SUTTON TRAIN STATION**</t>
        </is>
      </c>
      <c r="J58" t="inlineStr">
        <is>
          <t>https://www.rightmove.co.uk/properties/168214097#/?channel=RES_LET</t>
        </is>
      </c>
      <c r="K58" t="inlineStr">
        <is>
          <t>/property-to-rent/contactBranch.html?propertyId=168214097</t>
        </is>
      </c>
      <c r="L58" t="inlineStr">
        <is>
          <t>Leaders Lettings, Sutton</t>
        </is>
      </c>
      <c r="M58" t="n">
        <v>5845</v>
      </c>
      <c r="N58" t="inlineStr">
        <is>
          <t>Added yesterday</t>
        </is>
      </c>
      <c r="O58" t="inlineStr">
        <is>
          <t>2025-10-15T15:36:17Z</t>
        </is>
      </c>
      <c r="Q58" t="inlineStr">
        <is>
          <t>SM2</t>
        </is>
      </c>
      <c r="R58" t="inlineStr">
        <is>
          <t>2025-10-16T17:42:14.354506</t>
        </is>
      </c>
      <c r="S58" t="inlineStr">
        <is>
          <t>{'let available date': '20/10/2025', 'deposit': 'Ask agent', 'min. tenancy': 'Ask agent', 'let type': 'Long term', 'furnish type': 'Unfurnished', 'council tax': 'Ask agent'}</t>
        </is>
      </c>
      <c r="V58" t="b">
        <v>1</v>
      </c>
      <c r="X58" t="n">
        <v>24.26</v>
      </c>
      <c r="Y58" t="n">
        <v>66.3</v>
      </c>
      <c r="Z58">
        <f>IF(AND(ISNUMBER(B58), ISNUMBER(MIN(B$2:B$486)), ISNUMBER(MAX(B$2:B$486))), IF(MAX(B$2:B$486)=MIN(B$2:B$486), 50, ROUND((MAX(B$2:B$486)-B58)/(MAX(B$2:B$486)-MIN(B$2:B$486))*100, 2)), "")</f>
        <v/>
      </c>
      <c r="AA58">
        <f>IF(AND(ISNUMBER(X58), ISNUMBER(MIN(X$2:X$486)), ISNUMBER(MAX(X$2:X$486))), IF(MAX(X$2:X$486)=MIN(X$2:X$486), 50, ROUND((MAX(X$2:X$486)-X58)/(MAX(X$2:X$486)-MIN(X$2:X$486))*100, 2)), "")</f>
        <v/>
      </c>
      <c r="AB58">
        <f>IF(AND(ISNUMBER(U58), ISNUMBER(MIN(U$2:U$486)), ISNUMBER(MAX(U$2:U$486))), IF(MAX(U$2:U$486)=MIN(U$2:U$486), 50, ROUND((U58-MIN(U$2:U$486))/(MAX(U$2:U$486)-MIN(U$2:U$486))*100, 2)), "")</f>
        <v/>
      </c>
      <c r="AC58">
        <f>IF(AND(ISNUMBER(Z58), ISNUMBER(AA58), ISNUMBER(AB58)), ROUND((Z58+AA58+AB58)/3, 2), "")</f>
        <v/>
      </c>
    </row>
    <row r="59">
      <c r="A59" t="n">
        <v>168213110</v>
      </c>
      <c r="B59" t="n">
        <v>1600</v>
      </c>
      <c r="C59" t="inlineStr">
        <is>
          <t>£1,600 pcm</t>
        </is>
      </c>
      <c r="D59" t="inlineStr">
        <is>
          <t>monthly</t>
        </is>
      </c>
      <c r="E59" t="inlineStr">
        <is>
          <t>Flat</t>
        </is>
      </c>
      <c r="F59" t="n">
        <v>2</v>
      </c>
      <c r="G59" t="n">
        <v>1</v>
      </c>
      <c r="H59" t="inlineStr">
        <is>
          <t>Hatfield Close, Sutton, SM2</t>
        </is>
      </c>
      <c r="I59" t="inlineStr">
        <is>
          <t>Modern ground floor apartment offered unfurnished with comfortable and well-maintained features. Purpose-built property with off-street parking. Ideal for professionals or couples seeking convenience and contemporary living. Don't miss out on this opportunity to call this place home.</t>
        </is>
      </c>
      <c r="J59" t="inlineStr">
        <is>
          <t>https://www.rightmove.co.uk/properties/168213110#/?channel=RES_LET</t>
        </is>
      </c>
      <c r="K59" t="inlineStr">
        <is>
          <t>/property-to-rent/contactBranch.html?propertyId=168213110</t>
        </is>
      </c>
      <c r="L59" t="inlineStr">
        <is>
          <t>Leaders Lettings, Sutton</t>
        </is>
      </c>
      <c r="M59" t="n">
        <v>5845</v>
      </c>
      <c r="N59" t="inlineStr">
        <is>
          <t>Added yesterday</t>
        </is>
      </c>
      <c r="O59" t="inlineStr">
        <is>
          <t>2025-10-15T15:31:56Z</t>
        </is>
      </c>
      <c r="Q59" t="inlineStr">
        <is>
          <t>SM2</t>
        </is>
      </c>
      <c r="R59" t="inlineStr">
        <is>
          <t>2025-10-16T17:42:14.354509</t>
        </is>
      </c>
      <c r="S59" t="inlineStr">
        <is>
          <t>{'let available date': '31/10/2025', 'deposit': 'Ask agent', 'min. tenancy': 'Ask agent', 'let type': 'Long term', 'furnish type': 'Unfurnished', 'council tax': 'Ask agent'}</t>
        </is>
      </c>
      <c r="V59" t="b">
        <v>1</v>
      </c>
      <c r="X59" t="n">
        <v>24.26</v>
      </c>
      <c r="Y59" t="n">
        <v>66.3</v>
      </c>
      <c r="Z59">
        <f>IF(AND(ISNUMBER(B59), ISNUMBER(MIN(B$2:B$486)), ISNUMBER(MAX(B$2:B$486))), IF(MAX(B$2:B$486)=MIN(B$2:B$486), 50, ROUND((MAX(B$2:B$486)-B59)/(MAX(B$2:B$486)-MIN(B$2:B$486))*100, 2)), "")</f>
        <v/>
      </c>
      <c r="AA59">
        <f>IF(AND(ISNUMBER(X59), ISNUMBER(MIN(X$2:X$486)), ISNUMBER(MAX(X$2:X$486))), IF(MAX(X$2:X$486)=MIN(X$2:X$486), 50, ROUND((MAX(X$2:X$486)-X59)/(MAX(X$2:X$486)-MIN(X$2:X$486))*100, 2)), "")</f>
        <v/>
      </c>
      <c r="AB59">
        <f>IF(AND(ISNUMBER(U59), ISNUMBER(MIN(U$2:U$486)), ISNUMBER(MAX(U$2:U$486))), IF(MAX(U$2:U$486)=MIN(U$2:U$486), 50, ROUND((U59-MIN(U$2:U$486))/(MAX(U$2:U$486)-MIN(U$2:U$486))*100, 2)), "")</f>
        <v/>
      </c>
      <c r="AC59">
        <f>IF(AND(ISNUMBER(Z59), ISNUMBER(AA59), ISNUMBER(AB59)), ROUND((Z59+AA59+AB59)/3, 2), "")</f>
        <v/>
      </c>
    </row>
    <row r="60">
      <c r="A60" t="n">
        <v>167815796</v>
      </c>
      <c r="B60" t="n">
        <v>1750</v>
      </c>
      <c r="C60" t="inlineStr">
        <is>
          <t>£1,750 pcm</t>
        </is>
      </c>
      <c r="D60" t="inlineStr">
        <is>
          <t>monthly</t>
        </is>
      </c>
      <c r="E60" t="inlineStr">
        <is>
          <t>Flat</t>
        </is>
      </c>
      <c r="F60" t="n">
        <v>2</v>
      </c>
      <c r="G60" t="n">
        <v>1</v>
      </c>
      <c r="H60" t="inlineStr">
        <is>
          <t>Yeoman House, 63 Croydon Road, London</t>
        </is>
      </c>
      <c r="I60" t="inlineStr">
        <is>
          <t>We are proud to offer a luxurious living in the heart of Penge. Introducing a pinnacle of modern urban living at Yeoman House, 63 Croydon Road, Penge, London, SE20 7TS. Exquisite and brand-new 1 and 2 bedroom apartments are nestled within a newly developed residential building, offering a...</t>
        </is>
      </c>
      <c r="J60" t="inlineStr">
        <is>
          <t>https://www.rightmove.co.uk/properties/167815796#/?channel=RES_LET</t>
        </is>
      </c>
      <c r="K60" t="inlineStr">
        <is>
          <t>/property-to-rent/contactBranch.html?propertyId=167815796</t>
        </is>
      </c>
      <c r="L60" t="inlineStr">
        <is>
          <t>Mays Management, London</t>
        </is>
      </c>
      <c r="M60" t="n">
        <v>229781</v>
      </c>
      <c r="N60" t="inlineStr">
        <is>
          <t>Reduced yesterday</t>
        </is>
      </c>
      <c r="O60" t="inlineStr">
        <is>
          <t>2025-10-04T18:08:07Z</t>
        </is>
      </c>
      <c r="R60" t="inlineStr">
        <is>
          <t>2025-10-16T17:42:14.354511</t>
        </is>
      </c>
      <c r="S60" t="inlineStr">
        <is>
          <t>{'let available date': 'Now', 'deposit': '£2,019', 'min. tenancy': 'Ask agent', 'let type': 'Long term', 'furnish type': 'Ask agent', 'council tax': 'Ask agent'}</t>
        </is>
      </c>
      <c r="T60" t="n">
        <v>592</v>
      </c>
      <c r="U60" t="n">
        <v>55</v>
      </c>
      <c r="V60" t="b">
        <v>1</v>
      </c>
      <c r="X60" t="n">
        <v>15.65</v>
      </c>
      <c r="Y60" t="n">
        <v>50.8</v>
      </c>
      <c r="Z60">
        <f>IF(AND(ISNUMBER(B60), ISNUMBER(MIN(B$2:B$486)), ISNUMBER(MAX(B$2:B$486))), IF(MAX(B$2:B$486)=MIN(B$2:B$486), 50, ROUND((MAX(B$2:B$486)-B60)/(MAX(B$2:B$486)-MIN(B$2:B$486))*100, 2)), "")</f>
        <v/>
      </c>
      <c r="AA60">
        <f>IF(AND(ISNUMBER(X60), ISNUMBER(MIN(X$2:X$486)), ISNUMBER(MAX(X$2:X$486))), IF(MAX(X$2:X$486)=MIN(X$2:X$486), 50, ROUND((MAX(X$2:X$486)-X60)/(MAX(X$2:X$486)-MIN(X$2:X$486))*100, 2)), "")</f>
        <v/>
      </c>
      <c r="AB60">
        <f>IF(AND(ISNUMBER(U60), ISNUMBER(MIN(U$2:U$486)), ISNUMBER(MAX(U$2:U$486))), IF(MAX(U$2:U$486)=MIN(U$2:U$486), 50, ROUND((U60-MIN(U$2:U$486))/(MAX(U$2:U$486)-MIN(U$2:U$486))*100, 2)), "")</f>
        <v/>
      </c>
      <c r="AC60">
        <f>IF(AND(ISNUMBER(Z60), ISNUMBER(AA60), ISNUMBER(AB60)), ROUND((Z60+AA60+AB60)/3, 2), "")</f>
        <v/>
      </c>
    </row>
    <row r="61">
      <c r="A61" t="n">
        <v>167434367</v>
      </c>
      <c r="B61" t="n">
        <v>1650</v>
      </c>
      <c r="C61" t="inlineStr">
        <is>
          <t>£1,650 pcm</t>
        </is>
      </c>
      <c r="D61" t="inlineStr">
        <is>
          <t>monthly</t>
        </is>
      </c>
      <c r="E61" t="inlineStr">
        <is>
          <t>Apartment</t>
        </is>
      </c>
      <c r="F61" t="n">
        <v>2</v>
      </c>
      <c r="G61" t="n">
        <v>1</v>
      </c>
      <c r="H61" t="inlineStr">
        <is>
          <t>Reed Mansions, Cambridge Road, Wanstead, E11</t>
        </is>
      </c>
      <c r="I61" t="inlineStr">
        <is>
          <t>This purpose built, split level two bedroom flat located in Wanstead will catch your eye. Minutes away from Wanstead Underground, this property benefits from two, good sized double bedrooms, large reception room with a separate kitchen and an upstairs bathroom.</t>
        </is>
      </c>
      <c r="J61" t="inlineStr">
        <is>
          <t>https://www.rightmove.co.uk/properties/167434367#/?channel=RES_LET</t>
        </is>
      </c>
      <c r="K61" t="inlineStr">
        <is>
          <t>/property-to-rent/contactBranch.html?propertyId=167434367</t>
        </is>
      </c>
      <c r="L61" t="inlineStr">
        <is>
          <t>Trading Places, Leytonstone</t>
        </is>
      </c>
      <c r="M61" t="n">
        <v>9059</v>
      </c>
      <c r="N61" t="inlineStr">
        <is>
          <t>Reduced yesterday</t>
        </is>
      </c>
      <c r="O61" t="inlineStr">
        <is>
          <t>2025-09-25T16:38:20Z</t>
        </is>
      </c>
      <c r="Q61" t="inlineStr">
        <is>
          <t>E11</t>
        </is>
      </c>
      <c r="R61" t="inlineStr">
        <is>
          <t>2025-10-16T17:42:14.354514</t>
        </is>
      </c>
      <c r="S61" t="inlineStr">
        <is>
          <t>{'let available date': 'Now', 'deposit': '£1,903', 'min. tenancy': '12 months', 'let type': 'Long term', 'furnish type': 'Unfurnished', 'council tax': 'Ask agent'}</t>
        </is>
      </c>
      <c r="V61" t="b">
        <v>1</v>
      </c>
      <c r="X61" t="n">
        <v>13.87</v>
      </c>
      <c r="Y61" t="n">
        <v>45.6</v>
      </c>
      <c r="Z61">
        <f>IF(AND(ISNUMBER(B61), ISNUMBER(MIN(B$2:B$486)), ISNUMBER(MAX(B$2:B$486))), IF(MAX(B$2:B$486)=MIN(B$2:B$486), 50, ROUND((MAX(B$2:B$486)-B61)/(MAX(B$2:B$486)-MIN(B$2:B$486))*100, 2)), "")</f>
        <v/>
      </c>
      <c r="AA61">
        <f>IF(AND(ISNUMBER(X61), ISNUMBER(MIN(X$2:X$486)), ISNUMBER(MAX(X$2:X$486))), IF(MAX(X$2:X$486)=MIN(X$2:X$486), 50, ROUND((MAX(X$2:X$486)-X61)/(MAX(X$2:X$486)-MIN(X$2:X$486))*100, 2)), "")</f>
        <v/>
      </c>
      <c r="AB61">
        <f>IF(AND(ISNUMBER(U61), ISNUMBER(MIN(U$2:U$486)), ISNUMBER(MAX(U$2:U$486))), IF(MAX(U$2:U$486)=MIN(U$2:U$486), 50, ROUND((U61-MIN(U$2:U$486))/(MAX(U$2:U$486)-MIN(U$2:U$486))*100, 2)), "")</f>
        <v/>
      </c>
      <c r="AC61">
        <f>IF(AND(ISNUMBER(Z61), ISNUMBER(AA61), ISNUMBER(AB61)), ROUND((Z61+AA61+AB61)/3, 2), "")</f>
        <v/>
      </c>
    </row>
    <row r="62">
      <c r="A62" t="n">
        <v>167111381</v>
      </c>
      <c r="B62" t="n">
        <v>1700</v>
      </c>
      <c r="C62" t="inlineStr">
        <is>
          <t>£1,700 pcm</t>
        </is>
      </c>
      <c r="D62" t="inlineStr">
        <is>
          <t>monthly</t>
        </is>
      </c>
      <c r="E62" t="inlineStr">
        <is>
          <t>Maisonette</t>
        </is>
      </c>
      <c r="F62" t="n">
        <v>2</v>
      </c>
      <c r="G62" t="n">
        <v>1</v>
      </c>
      <c r="H62" t="inlineStr">
        <is>
          <t>Teddington Park Road, 2 Bedroom Flat</t>
        </is>
      </c>
      <c r="I62" t="inlineStr">
        <is>
          <t>We are pleased to bring to the market this newly refurbished 2 double bedroom first floor maisonette.   The property benefits from off-street parking for one car.  Available Immediately</t>
        </is>
      </c>
      <c r="J62" t="inlineStr">
        <is>
          <t>https://www.rightmove.co.uk/properties/167111381#/?channel=RES_LET</t>
        </is>
      </c>
      <c r="K62" t="inlineStr">
        <is>
          <t>/property-to-rent/contactBranch.html?propertyId=167111381</t>
        </is>
      </c>
      <c r="L62" t="inlineStr">
        <is>
          <t>Domains Property Services, East Molesey Sales</t>
        </is>
      </c>
      <c r="M62" t="n">
        <v>169154</v>
      </c>
      <c r="N62" t="inlineStr">
        <is>
          <t>Added yesterday</t>
        </is>
      </c>
      <c r="O62" t="inlineStr">
        <is>
          <t>2025-09-17T16:53:40Z</t>
        </is>
      </c>
      <c r="R62" t="inlineStr">
        <is>
          <t>2025-10-16T17:42:14.354517</t>
        </is>
      </c>
      <c r="S62" t="inlineStr">
        <is>
          <t>{'let available date': 'Now', 'deposit': 'Ask agent', 'min. tenancy': 'Ask agent', 'let type': 'Long term', 'furnish type': 'Unfurnished', 'council tax': 'Ask agent'}</t>
        </is>
      </c>
      <c r="V62" t="b">
        <v>1</v>
      </c>
      <c r="X62" t="n">
        <v>19.92</v>
      </c>
      <c r="Y62" t="n">
        <v>59</v>
      </c>
      <c r="Z62">
        <f>IF(AND(ISNUMBER(B62), ISNUMBER(MIN(B$2:B$486)), ISNUMBER(MAX(B$2:B$486))), IF(MAX(B$2:B$486)=MIN(B$2:B$486), 50, ROUND((MAX(B$2:B$486)-B62)/(MAX(B$2:B$486)-MIN(B$2:B$486))*100, 2)), "")</f>
        <v/>
      </c>
      <c r="AA62">
        <f>IF(AND(ISNUMBER(X62), ISNUMBER(MIN(X$2:X$486)), ISNUMBER(MAX(X$2:X$486))), IF(MAX(X$2:X$486)=MIN(X$2:X$486), 50, ROUND((MAX(X$2:X$486)-X62)/(MAX(X$2:X$486)-MIN(X$2:X$486))*100, 2)), "")</f>
        <v/>
      </c>
      <c r="AB62">
        <f>IF(AND(ISNUMBER(U62), ISNUMBER(MIN(U$2:U$486)), ISNUMBER(MAX(U$2:U$486))), IF(MAX(U$2:U$486)=MIN(U$2:U$486), 50, ROUND((U62-MIN(U$2:U$486))/(MAX(U$2:U$486)-MIN(U$2:U$486))*100, 2)), "")</f>
        <v/>
      </c>
      <c r="AC62">
        <f>IF(AND(ISNUMBER(Z62), ISNUMBER(AA62), ISNUMBER(AB62)), ROUND((Z62+AA62+AB62)/3, 2), "")</f>
        <v/>
      </c>
    </row>
    <row r="63">
      <c r="A63" t="n">
        <v>168207572</v>
      </c>
      <c r="B63" t="n">
        <v>1675</v>
      </c>
      <c r="C63" t="inlineStr">
        <is>
          <t>£1,675 pcm</t>
        </is>
      </c>
      <c r="D63" t="inlineStr">
        <is>
          <t>monthly</t>
        </is>
      </c>
      <c r="E63" t="inlineStr">
        <is>
          <t>Flat</t>
        </is>
      </c>
      <c r="F63" t="n">
        <v>2</v>
      </c>
      <c r="G63" t="n">
        <v>1</v>
      </c>
      <c r="H63" t="inlineStr">
        <is>
          <t>Homefield Park, Sutton, SM1</t>
        </is>
      </c>
      <c r="I63" t="inlineStr">
        <is>
          <t>Your Move are pleased to present this two double bedroom apartment located in SM1. This property has been newly refurbished throughout, new kitchen with appliances, new modern fitted bathroom. Wooden flooring throughout, Garage included.</t>
        </is>
      </c>
      <c r="J63" t="inlineStr">
        <is>
          <t>https://www.rightmove.co.uk/properties/168207572#/?channel=RES_LET</t>
        </is>
      </c>
      <c r="K63" t="inlineStr">
        <is>
          <t>/property-to-rent/contactBranch.html?propertyId=168207572</t>
        </is>
      </c>
      <c r="L63" t="inlineStr">
        <is>
          <t>Your Move, Sutton</t>
        </is>
      </c>
      <c r="M63" t="n">
        <v>6592</v>
      </c>
      <c r="N63" t="inlineStr">
        <is>
          <t>Reduced yesterday</t>
        </is>
      </c>
      <c r="O63" t="inlineStr">
        <is>
          <t>2025-10-15T14:39:03Z</t>
        </is>
      </c>
      <c r="Q63" t="inlineStr">
        <is>
          <t>SM1</t>
        </is>
      </c>
      <c r="R63" t="inlineStr">
        <is>
          <t>2025-10-16T17:42:14.354520</t>
        </is>
      </c>
      <c r="S63" t="inlineStr">
        <is>
          <t>{'let available date': '21/11/2025', 'deposit': '£1,930', 'min. tenancy': 'Ask agent', 'let type': 'Long term', 'furnish type': 'Unfurnished', 'council tax': 'Ask agent'}</t>
        </is>
      </c>
      <c r="V63" t="b">
        <v>1</v>
      </c>
      <c r="X63" t="n">
        <v>20.15</v>
      </c>
      <c r="Y63" t="n">
        <v>60.7</v>
      </c>
      <c r="Z63">
        <f>IF(AND(ISNUMBER(B63), ISNUMBER(MIN(B$2:B$486)), ISNUMBER(MAX(B$2:B$486))), IF(MAX(B$2:B$486)=MIN(B$2:B$486), 50, ROUND((MAX(B$2:B$486)-B63)/(MAX(B$2:B$486)-MIN(B$2:B$486))*100, 2)), "")</f>
        <v/>
      </c>
      <c r="AA63">
        <f>IF(AND(ISNUMBER(X63), ISNUMBER(MIN(X$2:X$486)), ISNUMBER(MAX(X$2:X$486))), IF(MAX(X$2:X$486)=MIN(X$2:X$486), 50, ROUND((MAX(X$2:X$486)-X63)/(MAX(X$2:X$486)-MIN(X$2:X$486))*100, 2)), "")</f>
        <v/>
      </c>
      <c r="AB63">
        <f>IF(AND(ISNUMBER(U63), ISNUMBER(MIN(U$2:U$486)), ISNUMBER(MAX(U$2:U$486))), IF(MAX(U$2:U$486)=MIN(U$2:U$486), 50, ROUND((U63-MIN(U$2:U$486))/(MAX(U$2:U$486)-MIN(U$2:U$486))*100, 2)), "")</f>
        <v/>
      </c>
      <c r="AC63">
        <f>IF(AND(ISNUMBER(Z63), ISNUMBER(AA63), ISNUMBER(AB63)), ROUND((Z63+AA63+AB63)/3, 2), "")</f>
        <v/>
      </c>
    </row>
    <row r="64">
      <c r="A64" t="n">
        <v>167049464</v>
      </c>
      <c r="B64" t="n">
        <v>1695</v>
      </c>
      <c r="C64" t="inlineStr">
        <is>
          <t>£1,695 pcm</t>
        </is>
      </c>
      <c r="D64" t="inlineStr">
        <is>
          <t>monthly</t>
        </is>
      </c>
      <c r="E64" t="inlineStr">
        <is>
          <t>Apartment</t>
        </is>
      </c>
      <c r="F64" t="n">
        <v>2</v>
      </c>
      <c r="G64" t="n">
        <v>1</v>
      </c>
      <c r="H64" t="inlineStr">
        <is>
          <t>York Way, Whetstone, London, N20</t>
        </is>
      </c>
      <c r="I64" t="inlineStr">
        <is>
          <t>Two bedroom ground floor apartment with modern kitchen and bathroom located close to transport links, local shops and amenities.</t>
        </is>
      </c>
      <c r="J64" t="inlineStr">
        <is>
          <t>https://www.rightmove.co.uk/properties/167049464#/?channel=RES_LET</t>
        </is>
      </c>
      <c r="K64" t="inlineStr">
        <is>
          <t>/property-to-rent/contactBranch.html?propertyId=167049464</t>
        </is>
      </c>
      <c r="L64" t="inlineStr">
        <is>
          <t>Martyn Gerrard, Whetstone</t>
        </is>
      </c>
      <c r="M64" t="n">
        <v>13108</v>
      </c>
      <c r="N64" t="inlineStr">
        <is>
          <t>Reduced yesterday</t>
        </is>
      </c>
      <c r="O64" t="inlineStr">
        <is>
          <t>2025-09-16T13:27:42Z</t>
        </is>
      </c>
      <c r="Q64" t="inlineStr">
        <is>
          <t>N20</t>
        </is>
      </c>
      <c r="R64" t="inlineStr">
        <is>
          <t>2025-10-16T17:42:14.354523</t>
        </is>
      </c>
      <c r="S64" t="inlineStr">
        <is>
          <t>{'let available date': 'Now', 'deposit': '£1,955', 'min. tenancy': '12 months', 'let type': 'Long term', 'furnish type': 'Unfurnished', 'council tax': 'Ask agent'}</t>
        </is>
      </c>
      <c r="T64" t="n">
        <v>570</v>
      </c>
      <c r="U64" t="n">
        <v>53</v>
      </c>
      <c r="V64" t="b">
        <v>1</v>
      </c>
      <c r="X64" t="n">
        <v>21.85</v>
      </c>
      <c r="Y64" t="n">
        <v>53.5</v>
      </c>
      <c r="Z64">
        <f>IF(AND(ISNUMBER(B64), ISNUMBER(MIN(B$2:B$486)), ISNUMBER(MAX(B$2:B$486))), IF(MAX(B$2:B$486)=MIN(B$2:B$486), 50, ROUND((MAX(B$2:B$486)-B64)/(MAX(B$2:B$486)-MIN(B$2:B$486))*100, 2)), "")</f>
        <v/>
      </c>
      <c r="AA64">
        <f>IF(AND(ISNUMBER(X64), ISNUMBER(MIN(X$2:X$486)), ISNUMBER(MAX(X$2:X$486))), IF(MAX(X$2:X$486)=MIN(X$2:X$486), 50, ROUND((MAX(X$2:X$486)-X64)/(MAX(X$2:X$486)-MIN(X$2:X$486))*100, 2)), "")</f>
        <v/>
      </c>
      <c r="AB64">
        <f>IF(AND(ISNUMBER(U64), ISNUMBER(MIN(U$2:U$486)), ISNUMBER(MAX(U$2:U$486))), IF(MAX(U$2:U$486)=MIN(U$2:U$486), 50, ROUND((U64-MIN(U$2:U$486))/(MAX(U$2:U$486)-MIN(U$2:U$486))*100, 2)), "")</f>
        <v/>
      </c>
      <c r="AC64">
        <f>IF(AND(ISNUMBER(Z64), ISNUMBER(AA64), ISNUMBER(AB64)), ROUND((Z64+AA64+AB64)/3, 2), "")</f>
        <v/>
      </c>
    </row>
    <row r="65">
      <c r="A65" t="n">
        <v>168202673</v>
      </c>
      <c r="B65" t="n">
        <v>1700</v>
      </c>
      <c r="C65" t="inlineStr">
        <is>
          <t>£1,700 pcm</t>
        </is>
      </c>
      <c r="D65" t="inlineStr">
        <is>
          <t>monthly</t>
        </is>
      </c>
      <c r="E65" t="inlineStr">
        <is>
          <t>Flat</t>
        </is>
      </c>
      <c r="F65" t="n">
        <v>2</v>
      </c>
      <c r="G65" t="n">
        <v>1</v>
      </c>
      <c r="H65" t="inlineStr">
        <is>
          <t>Dunnock Close, Edmonton</t>
        </is>
      </c>
      <c r="I65" t="inlineStr">
        <is>
          <t>Kings Group are delighted to offer this two bedroom second floor flat in Dunnock Close. This unfurnished property comprises a spacious lounge, separate kitchen with appliances, two good sized bedrooms and a 3 piece bathroom. Located close to Edmonton Green benefitting from great transport links a...</t>
        </is>
      </c>
      <c r="J65" t="inlineStr">
        <is>
          <t>https://www.rightmove.co.uk/properties/168202673#/?channel=RES_LET</t>
        </is>
      </c>
      <c r="K65" t="inlineStr">
        <is>
          <t>/property-to-rent/contactBranch.html?propertyId=168202673</t>
        </is>
      </c>
      <c r="L65" t="inlineStr">
        <is>
          <t>Kings Group, Edmonton - Lettings</t>
        </is>
      </c>
      <c r="M65" t="n">
        <v>6484</v>
      </c>
      <c r="N65" t="inlineStr">
        <is>
          <t>Added yesterday</t>
        </is>
      </c>
      <c r="O65" t="inlineStr">
        <is>
          <t>2025-10-15T13:34:55Z</t>
        </is>
      </c>
      <c r="R65" t="inlineStr">
        <is>
          <t>2025-10-16T17:42:14.354526</t>
        </is>
      </c>
      <c r="S65" t="inlineStr">
        <is>
          <t>{'let available date': 'Now', 'deposit': '£1,700', 'min. tenancy': 'Ask agent', 'let type': 'Long term', 'furnish type': 'Unfurnished', 'council tax': 'Ask agent'}</t>
        </is>
      </c>
      <c r="V65" t="b">
        <v>1</v>
      </c>
      <c r="X65" t="n">
        <v>17.76</v>
      </c>
      <c r="Y65" t="n">
        <v>54</v>
      </c>
      <c r="Z65">
        <f>IF(AND(ISNUMBER(B65), ISNUMBER(MIN(B$2:B$486)), ISNUMBER(MAX(B$2:B$486))), IF(MAX(B$2:B$486)=MIN(B$2:B$486), 50, ROUND((MAX(B$2:B$486)-B65)/(MAX(B$2:B$486)-MIN(B$2:B$486))*100, 2)), "")</f>
        <v/>
      </c>
      <c r="AA65">
        <f>IF(AND(ISNUMBER(X65), ISNUMBER(MIN(X$2:X$486)), ISNUMBER(MAX(X$2:X$486))), IF(MAX(X$2:X$486)=MIN(X$2:X$486), 50, ROUND((MAX(X$2:X$486)-X65)/(MAX(X$2:X$486)-MIN(X$2:X$486))*100, 2)), "")</f>
        <v/>
      </c>
      <c r="AB65">
        <f>IF(AND(ISNUMBER(U65), ISNUMBER(MIN(U$2:U$486)), ISNUMBER(MAX(U$2:U$486))), IF(MAX(U$2:U$486)=MIN(U$2:U$486), 50, ROUND((U65-MIN(U$2:U$486))/(MAX(U$2:U$486)-MIN(U$2:U$486))*100, 2)), "")</f>
        <v/>
      </c>
      <c r="AC65">
        <f>IF(AND(ISNUMBER(Z65), ISNUMBER(AA65), ISNUMBER(AB65)), ROUND((Z65+AA65+AB65)/3, 2), "")</f>
        <v/>
      </c>
    </row>
    <row r="66">
      <c r="A66" t="n">
        <v>168196847</v>
      </c>
      <c r="B66" t="n">
        <v>1750</v>
      </c>
      <c r="C66" t="inlineStr">
        <is>
          <t>£1,750 pcm</t>
        </is>
      </c>
      <c r="D66" t="inlineStr">
        <is>
          <t>monthly</t>
        </is>
      </c>
      <c r="E66" t="inlineStr">
        <is>
          <t>Flat</t>
        </is>
      </c>
      <c r="F66" t="n">
        <v>2</v>
      </c>
      <c r="G66" t="n">
        <v>2</v>
      </c>
      <c r="H66" t="inlineStr">
        <is>
          <t>Tideslea Path, London, SE28</t>
        </is>
      </c>
      <c r="I66" t="inlineStr">
        <is>
          <t>Robinson Jackson are pleased to present this recently refurbished two-bedroom upper-floor flat, conveniently located close to Plumstead Station. The property features two double bedrooms, a bright reception room, and two modern bathrooms. It also includes a private balcony and is available to mov...</t>
        </is>
      </c>
      <c r="J66" t="inlineStr">
        <is>
          <t>https://www.rightmove.co.uk/properties/168196847#/?channel=RES_LET</t>
        </is>
      </c>
      <c r="K66" t="inlineStr">
        <is>
          <t>/property-to-rent/contactBranch.html?propertyId=168196847</t>
        </is>
      </c>
      <c r="L66" t="inlineStr">
        <is>
          <t>Robinson Jackson, Plumstead</t>
        </is>
      </c>
      <c r="M66" t="n">
        <v>271901</v>
      </c>
      <c r="N66" t="inlineStr">
        <is>
          <t>Added yesterday</t>
        </is>
      </c>
      <c r="O66" t="inlineStr">
        <is>
          <t>2025-10-15T12:09:27Z</t>
        </is>
      </c>
      <c r="Q66" t="inlineStr">
        <is>
          <t>SE28</t>
        </is>
      </c>
      <c r="R66" t="inlineStr">
        <is>
          <t>2025-10-16T17:42:14.354529</t>
        </is>
      </c>
      <c r="S66" t="inlineStr">
        <is>
          <t>{'let available date': 'Now', 'deposit': '£2,019', 'min. tenancy': '12 months', 'let type': 'Long term', 'furnish type': 'Unfurnished', 'council tax': 'Ask agent'}</t>
        </is>
      </c>
      <c r="V66" t="b">
        <v>1</v>
      </c>
      <c r="X66" t="n">
        <v>23.84</v>
      </c>
      <c r="Y66" t="n">
        <v>60</v>
      </c>
      <c r="Z66">
        <f>IF(AND(ISNUMBER(B66), ISNUMBER(MIN(B$2:B$486)), ISNUMBER(MAX(B$2:B$486))), IF(MAX(B$2:B$486)=MIN(B$2:B$486), 50, ROUND((MAX(B$2:B$486)-B66)/(MAX(B$2:B$486)-MIN(B$2:B$486))*100, 2)), "")</f>
        <v/>
      </c>
      <c r="AA66">
        <f>IF(AND(ISNUMBER(X66), ISNUMBER(MIN(X$2:X$486)), ISNUMBER(MAX(X$2:X$486))), IF(MAX(X$2:X$486)=MIN(X$2:X$486), 50, ROUND((MAX(X$2:X$486)-X66)/(MAX(X$2:X$486)-MIN(X$2:X$486))*100, 2)), "")</f>
        <v/>
      </c>
      <c r="AB66">
        <f>IF(AND(ISNUMBER(U66), ISNUMBER(MIN(U$2:U$486)), ISNUMBER(MAX(U$2:U$486))), IF(MAX(U$2:U$486)=MIN(U$2:U$486), 50, ROUND((U66-MIN(U$2:U$486))/(MAX(U$2:U$486)-MIN(U$2:U$486))*100, 2)), "")</f>
        <v/>
      </c>
      <c r="AC66">
        <f>IF(AND(ISNUMBER(Z66), ISNUMBER(AA66), ISNUMBER(AB66)), ROUND((Z66+AA66+AB66)/3, 2), "")</f>
        <v/>
      </c>
    </row>
    <row r="67">
      <c r="A67" t="n">
        <v>87285591</v>
      </c>
      <c r="B67" t="n">
        <v>1650</v>
      </c>
      <c r="C67" t="inlineStr">
        <is>
          <t>£1,650 pcm</t>
        </is>
      </c>
      <c r="D67" t="inlineStr">
        <is>
          <t>monthly</t>
        </is>
      </c>
      <c r="E67" t="inlineStr">
        <is>
          <t>Flat</t>
        </is>
      </c>
      <c r="F67" t="n">
        <v>2</v>
      </c>
      <c r="G67" t="n">
        <v>1</v>
      </c>
      <c r="H67" t="inlineStr">
        <is>
          <t>Myatts Fields South, London</t>
        </is>
      </c>
      <c r="I67" t="inlineStr">
        <is>
          <t>**NO DEPOSIT OPTION AVAILABLE** Recently Refurbished Two Bed Available Now!</t>
        </is>
      </c>
      <c r="J67" t="inlineStr">
        <is>
          <t>https://www.rightmove.co.uk/properties/87285591#/?channel=RES_LET</t>
        </is>
      </c>
      <c r="K67" t="inlineStr">
        <is>
          <t>/property-to-rent/contactBranch.html?propertyId=87285591</t>
        </is>
      </c>
      <c r="L67" t="inlineStr">
        <is>
          <t>Felicity J Lord, Brixton - Lettings</t>
        </is>
      </c>
      <c r="M67" t="n">
        <v>50457</v>
      </c>
      <c r="N67" t="inlineStr">
        <is>
          <t>Reduced yesterday</t>
        </is>
      </c>
      <c r="O67" t="inlineStr">
        <is>
          <t>2025-10-14T09:07:17Z</t>
        </is>
      </c>
      <c r="R67" t="inlineStr">
        <is>
          <t>2025-10-16T17:42:14.354531</t>
        </is>
      </c>
      <c r="S67" t="inlineStr">
        <is>
          <t>{'let available date': '24/10/2025', 'deposit': '£1,903', 'min. tenancy': 'Ask agent', 'let type': 'Long term', 'furnish type': 'Unfurnished', 'council tax': 'Ask agent'}</t>
        </is>
      </c>
      <c r="V67" t="b">
        <v>1</v>
      </c>
      <c r="X67" t="n">
        <v>6.46</v>
      </c>
      <c r="Y67" t="n">
        <v>26.7</v>
      </c>
      <c r="Z67">
        <f>IF(AND(ISNUMBER(B67), ISNUMBER(MIN(B$2:B$486)), ISNUMBER(MAX(B$2:B$486))), IF(MAX(B$2:B$486)=MIN(B$2:B$486), 50, ROUND((MAX(B$2:B$486)-B67)/(MAX(B$2:B$486)-MIN(B$2:B$486))*100, 2)), "")</f>
        <v/>
      </c>
      <c r="AA67">
        <f>IF(AND(ISNUMBER(X67), ISNUMBER(MIN(X$2:X$486)), ISNUMBER(MAX(X$2:X$486))), IF(MAX(X$2:X$486)=MIN(X$2:X$486), 50, ROUND((MAX(X$2:X$486)-X67)/(MAX(X$2:X$486)-MIN(X$2:X$486))*100, 2)), "")</f>
        <v/>
      </c>
      <c r="AB67">
        <f>IF(AND(ISNUMBER(U67), ISNUMBER(MIN(U$2:U$486)), ISNUMBER(MAX(U$2:U$486))), IF(MAX(U$2:U$486)=MIN(U$2:U$486), 50, ROUND((U67-MIN(U$2:U$486))/(MAX(U$2:U$486)-MIN(U$2:U$486))*100, 2)), "")</f>
        <v/>
      </c>
      <c r="AC67">
        <f>IF(AND(ISNUMBER(Z67), ISNUMBER(AA67), ISNUMBER(AB67)), ROUND((Z67+AA67+AB67)/3, 2), "")</f>
        <v/>
      </c>
    </row>
    <row r="68">
      <c r="A68" t="n">
        <v>168195752</v>
      </c>
      <c r="B68" t="n">
        <v>1700</v>
      </c>
      <c r="C68" t="inlineStr">
        <is>
          <t>£1,700 pcm</t>
        </is>
      </c>
      <c r="D68" t="inlineStr">
        <is>
          <t>monthly</t>
        </is>
      </c>
      <c r="E68" t="inlineStr">
        <is>
          <t>Flat</t>
        </is>
      </c>
      <c r="F68" t="n">
        <v>2</v>
      </c>
      <c r="G68" t="n">
        <v>2</v>
      </c>
      <c r="H68" t="inlineStr">
        <is>
          <t>Fernwood Court, Southgate, London</t>
        </is>
      </c>
      <c r="I68" t="inlineStr">
        <is>
          <t>VERY SPACIOUS TWO BEDROOM TWO BATHROOM APARTMENT WITHIN SECURE DEVELOPMENT MOMENTS FROM SOUTHGATE STATION WITH ALLOCATED PARKING SPACE INCLUDED INCLUDED IN RENT. This BRIGHT HOME comprises TWO DOUBLE BEDROOMS, TWO FULL BATHROOMS (one is an en suite) and PLENTY OF STORAGE SPACE THROUGHOU...</t>
        </is>
      </c>
      <c r="J68" t="inlineStr">
        <is>
          <t>https://www.rightmove.co.uk/properties/168195752#/?channel=RES_LET</t>
        </is>
      </c>
      <c r="K68" t="inlineStr">
        <is>
          <t>/property-to-rent/contactBranch.html?propertyId=168195752</t>
        </is>
      </c>
      <c r="L68" t="inlineStr">
        <is>
          <t>Cavendish Parker, London</t>
        </is>
      </c>
      <c r="M68" t="n">
        <v>63309</v>
      </c>
      <c r="N68" t="inlineStr">
        <is>
          <t>Added yesterday</t>
        </is>
      </c>
      <c r="O68" t="inlineStr">
        <is>
          <t>2025-10-15T11:56:11Z</t>
        </is>
      </c>
      <c r="R68" t="inlineStr">
        <is>
          <t>2025-10-16T17:42:14.354534</t>
        </is>
      </c>
      <c r="S68" t="inlineStr">
        <is>
          <t>{'let available date': '02/12/2025', 'deposit': '£1,961', 'min. tenancy': 'Ask agent', 'let type': 'Long term', 'furnish type': 'Furnished', 'council tax': 'Ask agent'}</t>
        </is>
      </c>
      <c r="V68" t="b">
        <v>1</v>
      </c>
      <c r="X68" t="n">
        <v>18.25</v>
      </c>
      <c r="Y68" t="n">
        <v>52.9</v>
      </c>
      <c r="Z68">
        <f>IF(AND(ISNUMBER(B68), ISNUMBER(MIN(B$2:B$486)), ISNUMBER(MAX(B$2:B$486))), IF(MAX(B$2:B$486)=MIN(B$2:B$486), 50, ROUND((MAX(B$2:B$486)-B68)/(MAX(B$2:B$486)-MIN(B$2:B$486))*100, 2)), "")</f>
        <v/>
      </c>
      <c r="AA68">
        <f>IF(AND(ISNUMBER(X68), ISNUMBER(MIN(X$2:X$486)), ISNUMBER(MAX(X$2:X$486))), IF(MAX(X$2:X$486)=MIN(X$2:X$486), 50, ROUND((MAX(X$2:X$486)-X68)/(MAX(X$2:X$486)-MIN(X$2:X$486))*100, 2)), "")</f>
        <v/>
      </c>
      <c r="AB68">
        <f>IF(AND(ISNUMBER(U68), ISNUMBER(MIN(U$2:U$486)), ISNUMBER(MAX(U$2:U$486))), IF(MAX(U$2:U$486)=MIN(U$2:U$486), 50, ROUND((U68-MIN(U$2:U$486))/(MAX(U$2:U$486)-MIN(U$2:U$486))*100, 2)), "")</f>
        <v/>
      </c>
      <c r="AC68">
        <f>IF(AND(ISNUMBER(Z68), ISNUMBER(AA68), ISNUMBER(AB68)), ROUND((Z68+AA68+AB68)/3, 2), "")</f>
        <v/>
      </c>
    </row>
    <row r="69">
      <c r="A69" t="n">
        <v>166274960</v>
      </c>
      <c r="B69" t="n">
        <v>1700</v>
      </c>
      <c r="C69" t="inlineStr">
        <is>
          <t>£1,700 pcm</t>
        </is>
      </c>
      <c r="D69" t="inlineStr">
        <is>
          <t>monthly</t>
        </is>
      </c>
      <c r="E69" t="inlineStr">
        <is>
          <t>Apartment</t>
        </is>
      </c>
      <c r="F69" t="n">
        <v>2</v>
      </c>
      <c r="G69" t="n">
        <v>1</v>
      </c>
      <c r="H69" t="inlineStr">
        <is>
          <t>Tollgate Road, Beckton, E6</t>
        </is>
      </c>
      <c r="I69" t="inlineStr">
        <is>
          <t>Guide Price: £1700-£1800pcm A bright and modern 2-bedroom flat, recently refurbished and offered unfurnished. Located on Tollgate Road, this fully electric (no gas) property features an open-plan living area, stylish kitchen, contemporary bathroom, and two well-sized bedroo...</t>
        </is>
      </c>
      <c r="J69" t="inlineStr">
        <is>
          <t>https://www.rightmove.co.uk/properties/166274960#/?channel=RES_LET</t>
        </is>
      </c>
      <c r="K69" t="inlineStr">
        <is>
          <t>/property-to-rent/contactBranch.html?propertyId=166274960</t>
        </is>
      </c>
      <c r="L69" t="inlineStr">
        <is>
          <t>Metro Village Ltd, Canada Water</t>
        </is>
      </c>
      <c r="M69" t="n">
        <v>93680</v>
      </c>
      <c r="N69" t="inlineStr">
        <is>
          <t>Reduced yesterday</t>
        </is>
      </c>
      <c r="O69" t="inlineStr">
        <is>
          <t>2025-08-27T16:24:52Z</t>
        </is>
      </c>
      <c r="Q69" t="inlineStr">
        <is>
          <t>E6</t>
        </is>
      </c>
      <c r="R69" t="inlineStr">
        <is>
          <t>2025-10-16T17:42:14.354537</t>
        </is>
      </c>
      <c r="S69" t="inlineStr">
        <is>
          <t>{'let available date': '25/10/2025', 'deposit': '£1,961', 'min. tenancy': 'Ask agent', 'let type': 'Long term', 'furnish type': 'Unfurnished', 'council tax': 'Ask agent'}</t>
        </is>
      </c>
      <c r="V69" t="b">
        <v>1</v>
      </c>
      <c r="X69" t="n">
        <v>16.03</v>
      </c>
      <c r="Y69" t="n">
        <v>42.6</v>
      </c>
      <c r="Z69">
        <f>IF(AND(ISNUMBER(B69), ISNUMBER(MIN(B$2:B$486)), ISNUMBER(MAX(B$2:B$486))), IF(MAX(B$2:B$486)=MIN(B$2:B$486), 50, ROUND((MAX(B$2:B$486)-B69)/(MAX(B$2:B$486)-MIN(B$2:B$486))*100, 2)), "")</f>
        <v/>
      </c>
      <c r="AA69">
        <f>IF(AND(ISNUMBER(X69), ISNUMBER(MIN(X$2:X$486)), ISNUMBER(MAX(X$2:X$486))), IF(MAX(X$2:X$486)=MIN(X$2:X$486), 50, ROUND((MAX(X$2:X$486)-X69)/(MAX(X$2:X$486)-MIN(X$2:X$486))*100, 2)), "")</f>
        <v/>
      </c>
      <c r="AB69">
        <f>IF(AND(ISNUMBER(U69), ISNUMBER(MIN(U$2:U$486)), ISNUMBER(MAX(U$2:U$486))), IF(MAX(U$2:U$486)=MIN(U$2:U$486), 50, ROUND((U69-MIN(U$2:U$486))/(MAX(U$2:U$486)-MIN(U$2:U$486))*100, 2)), "")</f>
        <v/>
      </c>
      <c r="AC69">
        <f>IF(AND(ISNUMBER(Z69), ISNUMBER(AA69), ISNUMBER(AB69)), ROUND((Z69+AA69+AB69)/3, 2), "")</f>
        <v/>
      </c>
    </row>
    <row r="70">
      <c r="A70" t="n">
        <v>45656098</v>
      </c>
      <c r="B70" t="n">
        <v>1750</v>
      </c>
      <c r="C70" t="inlineStr">
        <is>
          <t>£1,750 pcm</t>
        </is>
      </c>
      <c r="D70" t="inlineStr">
        <is>
          <t>monthly</t>
        </is>
      </c>
      <c r="E70" t="inlineStr">
        <is>
          <t>Flat</t>
        </is>
      </c>
      <c r="F70" t="n">
        <v>2</v>
      </c>
      <c r="G70" t="n">
        <v>1</v>
      </c>
      <c r="H70" t="inlineStr">
        <is>
          <t>Westbury Avenue, N22 6RS</t>
        </is>
      </c>
      <c r="I70" t="inlineStr">
        <is>
          <t>A SPACIOUS CHARACTER TWO BEDROOM FIRST FLOOR CONVERSION FLAT LOCATED CLOSE TO TURNPIKE LANE UNDERGROUND STATION AND WOOD GREEN MULTIPLE TRANSPORT AND SHOPPING FACILITIES</t>
        </is>
      </c>
      <c r="J70" t="inlineStr">
        <is>
          <t>https://www.rightmove.co.uk/properties/45656098#/?channel=RES_LET</t>
        </is>
      </c>
      <c r="K70" t="inlineStr">
        <is>
          <t>/property-to-rent/contactBranch.html?propertyId=45656098</t>
        </is>
      </c>
      <c r="L70" t="inlineStr">
        <is>
          <t>Brian Thomas Estate Agents, Green Lanes</t>
        </is>
      </c>
      <c r="M70" t="n">
        <v>6123</v>
      </c>
      <c r="N70" t="inlineStr">
        <is>
          <t>Added yesterday</t>
        </is>
      </c>
      <c r="O70" t="inlineStr">
        <is>
          <t>2014-08-02T12:59:25Z</t>
        </is>
      </c>
      <c r="Q70" t="inlineStr">
        <is>
          <t>N22</t>
        </is>
      </c>
      <c r="R70" t="inlineStr">
        <is>
          <t>2025-10-16T17:42:14.354540</t>
        </is>
      </c>
      <c r="S70" t="inlineStr">
        <is>
          <t>{'let available date': '31/10/2025', 'deposit': '£1,750', 'min. tenancy': 'Ask agent', 'let type': 'Long term', 'furnish type': 'Furnished or unfurnished, landlord is flexible', 'council tax': 'Ask agent'}</t>
        </is>
      </c>
      <c r="V70" t="b">
        <v>1</v>
      </c>
      <c r="X70" t="n">
        <v>12.67</v>
      </c>
      <c r="Y70" t="n">
        <v>48.1</v>
      </c>
      <c r="Z70">
        <f>IF(AND(ISNUMBER(B70), ISNUMBER(MIN(B$2:B$486)), ISNUMBER(MAX(B$2:B$486))), IF(MAX(B$2:B$486)=MIN(B$2:B$486), 50, ROUND((MAX(B$2:B$486)-B70)/(MAX(B$2:B$486)-MIN(B$2:B$486))*100, 2)), "")</f>
        <v/>
      </c>
      <c r="AA70">
        <f>IF(AND(ISNUMBER(X70), ISNUMBER(MIN(X$2:X$486)), ISNUMBER(MAX(X$2:X$486))), IF(MAX(X$2:X$486)=MIN(X$2:X$486), 50, ROUND((MAX(X$2:X$486)-X70)/(MAX(X$2:X$486)-MIN(X$2:X$486))*100, 2)), "")</f>
        <v/>
      </c>
      <c r="AB70">
        <f>IF(AND(ISNUMBER(U70), ISNUMBER(MIN(U$2:U$486)), ISNUMBER(MAX(U$2:U$486))), IF(MAX(U$2:U$486)=MIN(U$2:U$486), 50, ROUND((U70-MIN(U$2:U$486))/(MAX(U$2:U$486)-MIN(U$2:U$486))*100, 2)), "")</f>
        <v/>
      </c>
      <c r="AC70">
        <f>IF(AND(ISNUMBER(Z70), ISNUMBER(AA70), ISNUMBER(AB70)), ROUND((Z70+AA70+AB70)/3, 2), "")</f>
        <v/>
      </c>
    </row>
    <row r="71">
      <c r="A71" t="n">
        <v>168190649</v>
      </c>
      <c r="B71" t="n">
        <v>1750</v>
      </c>
      <c r="C71" t="inlineStr">
        <is>
          <t>£1,750 pcm</t>
        </is>
      </c>
      <c r="D71" t="inlineStr">
        <is>
          <t>monthly</t>
        </is>
      </c>
      <c r="E71" t="inlineStr">
        <is>
          <t>Apartment</t>
        </is>
      </c>
      <c r="F71" t="n">
        <v>2</v>
      </c>
      <c r="G71" t="n">
        <v>1</v>
      </c>
      <c r="H71" t="inlineStr">
        <is>
          <t>Refectory Apartments, Lawrence Yard, London, N15</t>
        </is>
      </c>
      <c r="I71" t="inlineStr">
        <is>
          <t>Welcome to this charming first-floor apartment located in the heart of a vibrant town. The property boasts two bedrooms and comes partially furnished, offering a comfortable and stylish living space. The apartment features modern amenities and a tasteful decor, creating a warm and inviting atmosp...</t>
        </is>
      </c>
      <c r="J71" t="inlineStr">
        <is>
          <t>https://www.rightmove.co.uk/properties/168190649#/?channel=RES_LET</t>
        </is>
      </c>
      <c r="K71" t="inlineStr">
        <is>
          <t>/property-to-rent/contactBranch.html?propertyId=168190649</t>
        </is>
      </c>
      <c r="L71" t="inlineStr">
        <is>
          <t>Ellis &amp; Co, Tottenham</t>
        </is>
      </c>
      <c r="M71" t="n">
        <v>85127</v>
      </c>
      <c r="N71" t="inlineStr">
        <is>
          <t>Added yesterday</t>
        </is>
      </c>
      <c r="O71" t="inlineStr">
        <is>
          <t>2025-10-15T10:58:23Z</t>
        </is>
      </c>
      <c r="Q71" t="inlineStr">
        <is>
          <t>N15</t>
        </is>
      </c>
      <c r="R71" t="inlineStr">
        <is>
          <t>2025-10-16T17:42:14.354542</t>
        </is>
      </c>
      <c r="S71" t="inlineStr">
        <is>
          <t>{'let available date': '12/12/2025', 'deposit': '£2,019', 'min. tenancy': '6 months', 'let type': 'Long term', 'furnish type': 'Part furnished', 'council tax': 'Ask agent'}</t>
        </is>
      </c>
      <c r="V71" t="b">
        <v>1</v>
      </c>
      <c r="X71" t="n">
        <v>11.06</v>
      </c>
      <c r="Y71" t="n">
        <v>40.7</v>
      </c>
      <c r="Z71">
        <f>IF(AND(ISNUMBER(B71), ISNUMBER(MIN(B$2:B$486)), ISNUMBER(MAX(B$2:B$486))), IF(MAX(B$2:B$486)=MIN(B$2:B$486), 50, ROUND((MAX(B$2:B$486)-B71)/(MAX(B$2:B$486)-MIN(B$2:B$486))*100, 2)), "")</f>
        <v/>
      </c>
      <c r="AA71">
        <f>IF(AND(ISNUMBER(X71), ISNUMBER(MIN(X$2:X$486)), ISNUMBER(MAX(X$2:X$486))), IF(MAX(X$2:X$486)=MIN(X$2:X$486), 50, ROUND((MAX(X$2:X$486)-X71)/(MAX(X$2:X$486)-MIN(X$2:X$486))*100, 2)), "")</f>
        <v/>
      </c>
      <c r="AB71">
        <f>IF(AND(ISNUMBER(U71), ISNUMBER(MIN(U$2:U$486)), ISNUMBER(MAX(U$2:U$486))), IF(MAX(U$2:U$486)=MIN(U$2:U$486), 50, ROUND((U71-MIN(U$2:U$486))/(MAX(U$2:U$486)-MIN(U$2:U$486))*100, 2)), "")</f>
        <v/>
      </c>
      <c r="AC71">
        <f>IF(AND(ISNUMBER(Z71), ISNUMBER(AA71), ISNUMBER(AB71)), ROUND((Z71+AA71+AB71)/3, 2), "")</f>
        <v/>
      </c>
    </row>
    <row r="72">
      <c r="A72" t="n">
        <v>167004320</v>
      </c>
      <c r="B72" t="n">
        <v>1550</v>
      </c>
      <c r="C72" t="inlineStr">
        <is>
          <t>£1,550 pcm</t>
        </is>
      </c>
      <c r="D72" t="inlineStr">
        <is>
          <t>monthly</t>
        </is>
      </c>
      <c r="E72" t="inlineStr">
        <is>
          <t>Terraced</t>
        </is>
      </c>
      <c r="F72" t="n">
        <v>2</v>
      </c>
      <c r="G72" t="n">
        <v>1</v>
      </c>
      <c r="H72" t="inlineStr">
        <is>
          <t>Carnoustie Close, Thamesmead, London, SE28</t>
        </is>
      </c>
      <c r="I72" t="inlineStr">
        <is>
          <t>Are you looking for a SMART HOUSE in sought after close and AVAILABLE IMMEDIATELY? If YES, read on.The location is superb, with local amenities in North Thamesmead as well as the town centre which boasts Morrisons, Aldi, B&amp;M, leisure centre, Doctors and Dentist.For the busy c...</t>
        </is>
      </c>
      <c r="J72" t="inlineStr">
        <is>
          <t>https://www.rightmove.co.uk/properties/167004320#/?channel=RES_LET</t>
        </is>
      </c>
      <c r="K72" t="inlineStr">
        <is>
          <t>/property-to-rent/contactBranch.html?propertyId=167004320</t>
        </is>
      </c>
      <c r="L72" t="inlineStr">
        <is>
          <t>Harrison Ingram, Eltham</t>
        </is>
      </c>
      <c r="M72" t="n">
        <v>12256</v>
      </c>
      <c r="N72" t="inlineStr">
        <is>
          <t>Reduced yesterday</t>
        </is>
      </c>
      <c r="O72" t="inlineStr">
        <is>
          <t>2025-09-15T14:34:21Z</t>
        </is>
      </c>
      <c r="Q72" t="inlineStr">
        <is>
          <t>SE28</t>
        </is>
      </c>
      <c r="R72" t="inlineStr">
        <is>
          <t>2025-10-16T17:42:14.354545</t>
        </is>
      </c>
      <c r="S72" t="inlineStr">
        <is>
          <t>{'let available date': 'Now', 'deposit': '£1,788', 'min. tenancy': '12 months', 'let type': 'Long term', 'furnish type': 'Unfurnished', 'council tax': 'Ask agent'}</t>
        </is>
      </c>
      <c r="V72" t="b">
        <v>1</v>
      </c>
      <c r="X72" t="n">
        <v>23.84</v>
      </c>
      <c r="Y72" t="n">
        <v>60</v>
      </c>
      <c r="Z72">
        <f>IF(AND(ISNUMBER(B72), ISNUMBER(MIN(B$2:B$486)), ISNUMBER(MAX(B$2:B$486))), IF(MAX(B$2:B$486)=MIN(B$2:B$486), 50, ROUND((MAX(B$2:B$486)-B72)/(MAX(B$2:B$486)-MIN(B$2:B$486))*100, 2)), "")</f>
        <v/>
      </c>
      <c r="AA72">
        <f>IF(AND(ISNUMBER(X72), ISNUMBER(MIN(X$2:X$486)), ISNUMBER(MAX(X$2:X$486))), IF(MAX(X$2:X$486)=MIN(X$2:X$486), 50, ROUND((MAX(X$2:X$486)-X72)/(MAX(X$2:X$486)-MIN(X$2:X$486))*100, 2)), "")</f>
        <v/>
      </c>
      <c r="AB72">
        <f>IF(AND(ISNUMBER(U72), ISNUMBER(MIN(U$2:U$486)), ISNUMBER(MAX(U$2:U$486))), IF(MAX(U$2:U$486)=MIN(U$2:U$486), 50, ROUND((U72-MIN(U$2:U$486))/(MAX(U$2:U$486)-MIN(U$2:U$486))*100, 2)), "")</f>
        <v/>
      </c>
      <c r="AC72">
        <f>IF(AND(ISNUMBER(Z72), ISNUMBER(AA72), ISNUMBER(AB72)), ROUND((Z72+AA72+AB72)/3, 2), "")</f>
        <v/>
      </c>
    </row>
    <row r="73">
      <c r="A73" t="n">
        <v>167529956</v>
      </c>
      <c r="B73" t="n">
        <v>1550</v>
      </c>
      <c r="C73" t="inlineStr">
        <is>
          <t>£1,550 pcm</t>
        </is>
      </c>
      <c r="D73" t="inlineStr">
        <is>
          <t>monthly</t>
        </is>
      </c>
      <c r="E73" t="inlineStr">
        <is>
          <t>Apartment</t>
        </is>
      </c>
      <c r="F73" t="n">
        <v>2</v>
      </c>
      <c r="G73" t="n">
        <v>1</v>
      </c>
      <c r="H73" t="inlineStr">
        <is>
          <t>Hatfield Close Sutton SM2</t>
        </is>
      </c>
      <c r="I73" t="inlineStr">
        <is>
          <t>OPEN DAY: This bright &amp; spacious two bedroom apartment boasts a fitted kitchen and a large lounge and would suite a professional family.</t>
        </is>
      </c>
      <c r="J73" t="inlineStr">
        <is>
          <t>https://www.rightmove.co.uk/properties/167529956#/?channel=RES_LET</t>
        </is>
      </c>
      <c r="K73" t="inlineStr">
        <is>
          <t>/property-to-rent/contactBranch.html?propertyId=167529956</t>
        </is>
      </c>
      <c r="L73" t="inlineStr">
        <is>
          <t>Cubitt &amp; West Residential Lettings, Sutton</t>
        </is>
      </c>
      <c r="M73" t="n">
        <v>82928</v>
      </c>
      <c r="N73" t="inlineStr">
        <is>
          <t>Reduced yesterday</t>
        </is>
      </c>
      <c r="O73" t="inlineStr">
        <is>
          <t>2025-09-27T20:24:57Z</t>
        </is>
      </c>
      <c r="Q73" t="inlineStr">
        <is>
          <t>SM2</t>
        </is>
      </c>
      <c r="R73" t="inlineStr">
        <is>
          <t>2025-10-16T17:42:14.354549</t>
        </is>
      </c>
      <c r="S73" t="inlineStr">
        <is>
          <t>{'let available date': '18/10/2025', 'deposit': '£1,788', 'min. tenancy': 'Ask agent', 'let type': 'Long term', 'furnish type': 'Unfurnished', 'council tax': 'Ask agent'}</t>
        </is>
      </c>
      <c r="V73" t="b">
        <v>1</v>
      </c>
      <c r="X73" t="n">
        <v>24.02</v>
      </c>
      <c r="Y73" t="n">
        <v>67</v>
      </c>
      <c r="Z73">
        <f>IF(AND(ISNUMBER(B73), ISNUMBER(MIN(B$2:B$486)), ISNUMBER(MAX(B$2:B$486))), IF(MAX(B$2:B$486)=MIN(B$2:B$486), 50, ROUND((MAX(B$2:B$486)-B73)/(MAX(B$2:B$486)-MIN(B$2:B$486))*100, 2)), "")</f>
        <v/>
      </c>
      <c r="AA73">
        <f>IF(AND(ISNUMBER(X73), ISNUMBER(MIN(X$2:X$486)), ISNUMBER(MAX(X$2:X$486))), IF(MAX(X$2:X$486)=MIN(X$2:X$486), 50, ROUND((MAX(X$2:X$486)-X73)/(MAX(X$2:X$486)-MIN(X$2:X$486))*100, 2)), "")</f>
        <v/>
      </c>
      <c r="AB73">
        <f>IF(AND(ISNUMBER(U73), ISNUMBER(MIN(U$2:U$486)), ISNUMBER(MAX(U$2:U$486))), IF(MAX(U$2:U$486)=MIN(U$2:U$486), 50, ROUND((U73-MIN(U$2:U$486))/(MAX(U$2:U$486)-MIN(U$2:U$486))*100, 2)), "")</f>
        <v/>
      </c>
      <c r="AC73">
        <f>IF(AND(ISNUMBER(Z73), ISNUMBER(AA73), ISNUMBER(AB73)), ROUND((Z73+AA73+AB73)/3, 2), "")</f>
        <v/>
      </c>
    </row>
    <row r="74">
      <c r="A74" t="n">
        <v>153473495</v>
      </c>
      <c r="B74" t="n">
        <v>1650</v>
      </c>
      <c r="C74" t="inlineStr">
        <is>
          <t>£1,650 pcm</t>
        </is>
      </c>
      <c r="D74" t="inlineStr">
        <is>
          <t>monthly</t>
        </is>
      </c>
      <c r="E74" t="inlineStr">
        <is>
          <t>Terraced</t>
        </is>
      </c>
      <c r="F74" t="n">
        <v>2</v>
      </c>
      <c r="G74" t="n">
        <v>1</v>
      </c>
      <c r="H74" t="inlineStr">
        <is>
          <t>Park Road, Wallington, Surrey. SM6</t>
        </is>
      </c>
      <c r="I74" t="inlineStr">
        <is>
          <t>**Available 25th November FURNISHED * 12 months rental only ** Ushers are pleased to offer this attractive &amp; rarely available 2 bedroom terraced house, situated in a select development in Wallington. The property benefits from having an entrance hall, 20'7 lounge dining room, 8ft modern kitc...</t>
        </is>
      </c>
      <c r="J74" t="inlineStr">
        <is>
          <t>https://www.rightmove.co.uk/properties/153473495#/?channel=RES_LET</t>
        </is>
      </c>
      <c r="K74" t="inlineStr">
        <is>
          <t>/property-to-rent/contactBranch.html?propertyId=153473495</t>
        </is>
      </c>
      <c r="L74" t="inlineStr">
        <is>
          <t>Ushers Estate Agents, Carshalton</t>
        </is>
      </c>
      <c r="M74" t="n">
        <v>7207</v>
      </c>
      <c r="N74" t="inlineStr">
        <is>
          <t>Added yesterday</t>
        </is>
      </c>
      <c r="O74" t="inlineStr">
        <is>
          <t>2024-10-07T17:44:10Z</t>
        </is>
      </c>
      <c r="Q74" t="inlineStr">
        <is>
          <t>SM6</t>
        </is>
      </c>
      <c r="R74" t="inlineStr">
        <is>
          <t>2025-10-16T17:42:14.354551</t>
        </is>
      </c>
      <c r="S74" t="inlineStr">
        <is>
          <t>{'let available date': '25/11/2025', 'deposit': '£1,903', 'min. tenancy': 'Ask agent', 'let type': 'Long term', 'furnish type': 'Furnished', 'council tax': 'Ask agent'}</t>
        </is>
      </c>
      <c r="V74" t="b">
        <v>1</v>
      </c>
      <c r="X74" t="n">
        <v>20.45</v>
      </c>
      <c r="Y74" t="n">
        <v>64.59999999999999</v>
      </c>
      <c r="Z74">
        <f>IF(AND(ISNUMBER(B74), ISNUMBER(MIN(B$2:B$486)), ISNUMBER(MAX(B$2:B$486))), IF(MAX(B$2:B$486)=MIN(B$2:B$486), 50, ROUND((MAX(B$2:B$486)-B74)/(MAX(B$2:B$486)-MIN(B$2:B$486))*100, 2)), "")</f>
        <v/>
      </c>
      <c r="AA74">
        <f>IF(AND(ISNUMBER(X74), ISNUMBER(MIN(X$2:X$486)), ISNUMBER(MAX(X$2:X$486))), IF(MAX(X$2:X$486)=MIN(X$2:X$486), 50, ROUND((MAX(X$2:X$486)-X74)/(MAX(X$2:X$486)-MIN(X$2:X$486))*100, 2)), "")</f>
        <v/>
      </c>
      <c r="AB74">
        <f>IF(AND(ISNUMBER(U74), ISNUMBER(MIN(U$2:U$486)), ISNUMBER(MAX(U$2:U$486))), IF(MAX(U$2:U$486)=MIN(U$2:U$486), 50, ROUND((U74-MIN(U$2:U$486))/(MAX(U$2:U$486)-MIN(U$2:U$486))*100, 2)), "")</f>
        <v/>
      </c>
      <c r="AC74">
        <f>IF(AND(ISNUMBER(Z74), ISNUMBER(AA74), ISNUMBER(AB74)), ROUND((Z74+AA74+AB74)/3, 2), "")</f>
        <v/>
      </c>
    </row>
    <row r="75">
      <c r="A75" t="n">
        <v>166053377</v>
      </c>
      <c r="B75" t="n">
        <v>1750</v>
      </c>
      <c r="C75" t="inlineStr">
        <is>
          <t>£1,750 pcm</t>
        </is>
      </c>
      <c r="D75" t="inlineStr">
        <is>
          <t>monthly</t>
        </is>
      </c>
      <c r="E75" t="inlineStr">
        <is>
          <t>Flat</t>
        </is>
      </c>
      <c r="F75" t="n">
        <v>2</v>
      </c>
      <c r="G75" t="n">
        <v>1</v>
      </c>
      <c r="H75" t="inlineStr">
        <is>
          <t>Thornlaw Road, West Norwood, London, SE27</t>
        </is>
      </c>
      <c r="I75" t="inlineStr">
        <is>
          <t>Unfurnished spacious first floor period conversion flat in West Norwood, available now.</t>
        </is>
      </c>
      <c r="J75" t="inlineStr">
        <is>
          <t>https://www.rightmove.co.uk/properties/166053377#/?channel=RES_LET</t>
        </is>
      </c>
      <c r="K75" t="inlineStr">
        <is>
          <t>/property-to-rent/contactBranch.html?propertyId=166053377</t>
        </is>
      </c>
      <c r="L75" t="inlineStr">
        <is>
          <t>Northwood, West Norwood - Lettings</t>
        </is>
      </c>
      <c r="M75" t="n">
        <v>222866</v>
      </c>
      <c r="N75" t="inlineStr">
        <is>
          <t>Reduced yesterday</t>
        </is>
      </c>
      <c r="O75" t="inlineStr">
        <is>
          <t>2025-08-21T12:31:31Z</t>
        </is>
      </c>
      <c r="Q75" t="inlineStr">
        <is>
          <t>SE27</t>
        </is>
      </c>
      <c r="R75" t="inlineStr">
        <is>
          <t>2025-10-16T17:42:14.354554</t>
        </is>
      </c>
      <c r="S75" t="inlineStr">
        <is>
          <t>{'let available date': 'Now', 'deposit': '£2,019', 'min. tenancy': 'Ask agent', 'let type': 'Long term', 'furnish type': 'Unfurnished', 'council tax': 'Ask agent'}</t>
        </is>
      </c>
      <c r="T75" t="n">
        <v>592</v>
      </c>
      <c r="U75" t="n">
        <v>55</v>
      </c>
      <c r="V75" t="b">
        <v>1</v>
      </c>
      <c r="X75" t="n">
        <v>11.39</v>
      </c>
      <c r="Y75" t="n">
        <v>43</v>
      </c>
      <c r="Z75">
        <f>IF(AND(ISNUMBER(B75), ISNUMBER(MIN(B$2:B$486)), ISNUMBER(MAX(B$2:B$486))), IF(MAX(B$2:B$486)=MIN(B$2:B$486), 50, ROUND((MAX(B$2:B$486)-B75)/(MAX(B$2:B$486)-MIN(B$2:B$486))*100, 2)), "")</f>
        <v/>
      </c>
      <c r="AA75">
        <f>IF(AND(ISNUMBER(X75), ISNUMBER(MIN(X$2:X$486)), ISNUMBER(MAX(X$2:X$486))), IF(MAX(X$2:X$486)=MIN(X$2:X$486), 50, ROUND((MAX(X$2:X$486)-X75)/(MAX(X$2:X$486)-MIN(X$2:X$486))*100, 2)), "")</f>
        <v/>
      </c>
      <c r="AB75">
        <f>IF(AND(ISNUMBER(U75), ISNUMBER(MIN(U$2:U$486)), ISNUMBER(MAX(U$2:U$486))), IF(MAX(U$2:U$486)=MIN(U$2:U$486), 50, ROUND((U75-MIN(U$2:U$486))/(MAX(U$2:U$486)-MIN(U$2:U$486))*100, 2)), "")</f>
        <v/>
      </c>
      <c r="AC75">
        <f>IF(AND(ISNUMBER(Z75), ISNUMBER(AA75), ISNUMBER(AB75)), ROUND((Z75+AA75+AB75)/3, 2), "")</f>
        <v/>
      </c>
    </row>
    <row r="76">
      <c r="A76" t="n">
        <v>168184214</v>
      </c>
      <c r="B76" t="n">
        <v>1750</v>
      </c>
      <c r="C76" t="inlineStr">
        <is>
          <t>£1,750 pcm</t>
        </is>
      </c>
      <c r="D76" t="inlineStr">
        <is>
          <t>monthly</t>
        </is>
      </c>
      <c r="E76" t="inlineStr">
        <is>
          <t>Flat</t>
        </is>
      </c>
      <c r="F76" t="n">
        <v>2</v>
      </c>
      <c r="G76" t="n">
        <v>1</v>
      </c>
      <c r="H76" t="inlineStr">
        <is>
          <t>Kilburn Vale, London, NW6</t>
        </is>
      </c>
      <c r="I76" t="inlineStr">
        <is>
          <t>A well proportioned two double bedroom apartment with private balcony located on the 3rd floor of a purpose built block and situated between West Hampstead and Kilburn.</t>
        </is>
      </c>
      <c r="J76" t="inlineStr">
        <is>
          <t>https://www.rightmove.co.uk/properties/168184214#/?channel=RES_LET</t>
        </is>
      </c>
      <c r="K76" t="inlineStr">
        <is>
          <t>/property-to-rent/contactBranch.html?propertyId=168184214</t>
        </is>
      </c>
      <c r="L76" t="inlineStr">
        <is>
          <t>Kinleigh Folkard &amp; Hayward - Lettings, West Hampstead</t>
        </is>
      </c>
      <c r="M76" t="n">
        <v>98852</v>
      </c>
      <c r="N76" t="inlineStr">
        <is>
          <t>Added yesterday</t>
        </is>
      </c>
      <c r="O76" t="inlineStr">
        <is>
          <t>2025-10-15T09:36:46Z</t>
        </is>
      </c>
      <c r="Q76" t="inlineStr">
        <is>
          <t>NW6</t>
        </is>
      </c>
      <c r="R76" t="inlineStr">
        <is>
          <t>2025-10-16T17:42:14.354559</t>
        </is>
      </c>
      <c r="S76" t="inlineStr">
        <is>
          <t>{'let available date': '16/12/2025', 'deposit': '£5', 'min. tenancy': 'Ask agent', 'let type': 'Long term', 'furnish type': 'Unfurnished', 'council tax': 'Ask agent'}</t>
        </is>
      </c>
      <c r="V76" t="b">
        <v>1</v>
      </c>
      <c r="X76" t="n">
        <v>7.72</v>
      </c>
      <c r="Y76" t="n">
        <v>33.3</v>
      </c>
      <c r="Z76">
        <f>IF(AND(ISNUMBER(B76), ISNUMBER(MIN(B$2:B$486)), ISNUMBER(MAX(B$2:B$486))), IF(MAX(B$2:B$486)=MIN(B$2:B$486), 50, ROUND((MAX(B$2:B$486)-B76)/(MAX(B$2:B$486)-MIN(B$2:B$486))*100, 2)), "")</f>
        <v/>
      </c>
      <c r="AA76">
        <f>IF(AND(ISNUMBER(X76), ISNUMBER(MIN(X$2:X$486)), ISNUMBER(MAX(X$2:X$486))), IF(MAX(X$2:X$486)=MIN(X$2:X$486), 50, ROUND((MAX(X$2:X$486)-X76)/(MAX(X$2:X$486)-MIN(X$2:X$486))*100, 2)), "")</f>
        <v/>
      </c>
      <c r="AB76">
        <f>IF(AND(ISNUMBER(U76), ISNUMBER(MIN(U$2:U$486)), ISNUMBER(MAX(U$2:U$486))), IF(MAX(U$2:U$486)=MIN(U$2:U$486), 50, ROUND((U76-MIN(U$2:U$486))/(MAX(U$2:U$486)-MIN(U$2:U$486))*100, 2)), "")</f>
        <v/>
      </c>
      <c r="AC76">
        <f>IF(AND(ISNUMBER(Z76), ISNUMBER(AA76), ISNUMBER(AB76)), ROUND((Z76+AA76+AB76)/3, 2), "")</f>
        <v/>
      </c>
    </row>
    <row r="77">
      <c r="A77" t="n">
        <v>165469235</v>
      </c>
      <c r="B77" t="n">
        <v>1750</v>
      </c>
      <c r="C77" t="inlineStr">
        <is>
          <t>£1,750 pcm</t>
        </is>
      </c>
      <c r="D77" t="inlineStr">
        <is>
          <t>monthly</t>
        </is>
      </c>
      <c r="E77" t="inlineStr">
        <is>
          <t>Flat</t>
        </is>
      </c>
      <c r="F77" t="n">
        <v>2</v>
      </c>
      <c r="G77" t="n">
        <v>1</v>
      </c>
      <c r="H77" t="inlineStr">
        <is>
          <t>London Road, Isleworth, TW7</t>
        </is>
      </c>
      <c r="I77" t="inlineStr">
        <is>
          <t>A newly refurbished two-bedroom property within a modern apartment development. This property features an open plan kitchen / living room which leads onto a private balcony. Both bedrooms are well proportioned, and the property has a modern family bathroom. The property ...</t>
        </is>
      </c>
      <c r="J77" t="inlineStr">
        <is>
          <t>https://www.rightmove.co.uk/properties/165469235#/?channel=RES_LET</t>
        </is>
      </c>
      <c r="K77" t="inlineStr">
        <is>
          <t>/property-to-rent/contactBranch.html?propertyId=165469235</t>
        </is>
      </c>
      <c r="L77" t="inlineStr">
        <is>
          <t>John D Wood &amp; Co. Lettings, St Margarets</t>
        </is>
      </c>
      <c r="M77" t="n">
        <v>56906</v>
      </c>
      <c r="N77" t="inlineStr">
        <is>
          <t>Reduced on 14/10/2025</t>
        </is>
      </c>
      <c r="O77" t="inlineStr">
        <is>
          <t>2025-08-07T14:14:54Z</t>
        </is>
      </c>
      <c r="Q77" t="inlineStr">
        <is>
          <t>TW7</t>
        </is>
      </c>
      <c r="R77" t="inlineStr">
        <is>
          <t>2025-10-16T17:42:15.783122</t>
        </is>
      </c>
      <c r="S77" t="inlineStr">
        <is>
          <t>{'let available date': 'Now', 'deposit': '£2,019', 'min. tenancy': 'Ask agent', 'let type': 'Long term', 'furnish type': 'Unfurnished', 'council tax': 'Ask agent'}</t>
        </is>
      </c>
      <c r="V77" t="b">
        <v>1</v>
      </c>
      <c r="X77" t="n">
        <v>16.88</v>
      </c>
      <c r="Y77" t="n">
        <v>54.3</v>
      </c>
      <c r="Z77">
        <f>IF(AND(ISNUMBER(B77), ISNUMBER(MIN(B$2:B$486)), ISNUMBER(MAX(B$2:B$486))), IF(MAX(B$2:B$486)=MIN(B$2:B$486), 50, ROUND((MAX(B$2:B$486)-B77)/(MAX(B$2:B$486)-MIN(B$2:B$486))*100, 2)), "")</f>
        <v/>
      </c>
      <c r="AA77">
        <f>IF(AND(ISNUMBER(X77), ISNUMBER(MIN(X$2:X$486)), ISNUMBER(MAX(X$2:X$486))), IF(MAX(X$2:X$486)=MIN(X$2:X$486), 50, ROUND((MAX(X$2:X$486)-X77)/(MAX(X$2:X$486)-MIN(X$2:X$486))*100, 2)), "")</f>
        <v/>
      </c>
      <c r="AB77">
        <f>IF(AND(ISNUMBER(U77), ISNUMBER(MIN(U$2:U$486)), ISNUMBER(MAX(U$2:U$486))), IF(MAX(U$2:U$486)=MIN(U$2:U$486), 50, ROUND((U77-MIN(U$2:U$486))/(MAX(U$2:U$486)-MIN(U$2:U$486))*100, 2)), "")</f>
        <v/>
      </c>
      <c r="AC77">
        <f>IF(AND(ISNUMBER(Z77), ISNUMBER(AA77), ISNUMBER(AB77)), ROUND((Z77+AA77+AB77)/3, 2), "")</f>
        <v/>
      </c>
    </row>
    <row r="78">
      <c r="A78" t="n">
        <v>167487086</v>
      </c>
      <c r="B78" t="n">
        <v>1650</v>
      </c>
      <c r="C78" t="inlineStr">
        <is>
          <t>£1,650 pcm</t>
        </is>
      </c>
      <c r="D78" t="inlineStr">
        <is>
          <t>monthly</t>
        </is>
      </c>
      <c r="E78" t="inlineStr">
        <is>
          <t>Apartment</t>
        </is>
      </c>
      <c r="F78" t="n">
        <v>2</v>
      </c>
      <c r="G78" t="n">
        <v>2</v>
      </c>
      <c r="H78" t="inlineStr">
        <is>
          <t>Alder Court</t>
        </is>
      </c>
      <c r="I78" t="inlineStr">
        <is>
          <t>A two bedroom 2 bathroom flat in this purpose built block is on the ground floor and has a double bedroom with en-suite, a fitted kitchen, and modern bathroom, There is only electric heating in the property and the flat is double glazed to help keep the bills low.the block boast lifts to all floo...</t>
        </is>
      </c>
      <c r="J78" t="inlineStr">
        <is>
          <t>https://www.rightmove.co.uk/properties/167487086#/?channel=RES_LET</t>
        </is>
      </c>
      <c r="K78" t="inlineStr">
        <is>
          <t>/property-to-rent/contactBranch.html?propertyId=167487086</t>
        </is>
      </c>
      <c r="L78" t="inlineStr">
        <is>
          <t>Wilkinson Byrne, London</t>
        </is>
      </c>
      <c r="M78" t="n">
        <v>38480</v>
      </c>
      <c r="N78" t="inlineStr">
        <is>
          <t>Reduced yesterday</t>
        </is>
      </c>
      <c r="O78" t="inlineStr">
        <is>
          <t>2025-09-27T11:08:00Z</t>
        </is>
      </c>
      <c r="R78" t="inlineStr">
        <is>
          <t>2025-10-16T17:42:15.783140</t>
        </is>
      </c>
      <c r="S78" t="inlineStr">
        <is>
          <t>{'let available date': '25/10/2025', 'deposit': '£2,020', 'min. tenancy': 'Ask agent', 'let type': 'Long term', 'furnish type': 'Part furnished', 'council tax': 'Ask agent'}</t>
        </is>
      </c>
      <c r="V78" t="b">
        <v>1</v>
      </c>
      <c r="X78" t="n">
        <v>547.3</v>
      </c>
      <c r="Y78" t="n">
        <v>363</v>
      </c>
      <c r="Z78">
        <f>IF(AND(ISNUMBER(B78), ISNUMBER(MIN(B$2:B$486)), ISNUMBER(MAX(B$2:B$486))), IF(MAX(B$2:B$486)=MIN(B$2:B$486), 50, ROUND((MAX(B$2:B$486)-B78)/(MAX(B$2:B$486)-MIN(B$2:B$486))*100, 2)), "")</f>
        <v/>
      </c>
      <c r="AA78">
        <f>IF(AND(ISNUMBER(X78), ISNUMBER(MIN(X$2:X$486)), ISNUMBER(MAX(X$2:X$486))), IF(MAX(X$2:X$486)=MIN(X$2:X$486), 50, ROUND((MAX(X$2:X$486)-X78)/(MAX(X$2:X$486)-MIN(X$2:X$486))*100, 2)), "")</f>
        <v/>
      </c>
      <c r="AB78">
        <f>IF(AND(ISNUMBER(U78), ISNUMBER(MIN(U$2:U$486)), ISNUMBER(MAX(U$2:U$486))), IF(MAX(U$2:U$486)=MIN(U$2:U$486), 50, ROUND((U78-MIN(U$2:U$486))/(MAX(U$2:U$486)-MIN(U$2:U$486))*100, 2)), "")</f>
        <v/>
      </c>
      <c r="AC78">
        <f>IF(AND(ISNUMBER(Z78), ISNUMBER(AA78), ISNUMBER(AB78)), ROUND((Z78+AA78+AB78)/3, 2), "")</f>
        <v/>
      </c>
    </row>
    <row r="79">
      <c r="A79" t="n">
        <v>87330537</v>
      </c>
      <c r="B79" t="n">
        <v>1600</v>
      </c>
      <c r="C79" t="inlineStr">
        <is>
          <t>£1,600 pcm</t>
        </is>
      </c>
      <c r="D79" t="inlineStr">
        <is>
          <t>monthly</t>
        </is>
      </c>
      <c r="E79" t="inlineStr">
        <is>
          <t>Flat</t>
        </is>
      </c>
      <c r="F79" t="n">
        <v>2</v>
      </c>
      <c r="G79" t="n">
        <v>1</v>
      </c>
      <c r="H79" t="inlineStr">
        <is>
          <t>Ealing, London, W5</t>
        </is>
      </c>
      <c r="I79" t="inlineStr">
        <is>
          <t>Large, bright 2-bedroom flat adjacent to Park Royal tube (Piccadilly Line) and a short walk from Hanger Lane tube (Central Line) with easy access to the A40 and the A406. 2 double bedrooms plus... ** Property Reference: 2654463 **</t>
        </is>
      </c>
      <c r="J79" t="inlineStr">
        <is>
          <t>https://www.rightmove.co.uk/properties/87330537#/?channel=RES_LET</t>
        </is>
      </c>
      <c r="K79" t="inlineStr">
        <is>
          <t>/property-to-rent/contactBranch.html?propertyId=87330537</t>
        </is>
      </c>
      <c r="L79" t="inlineStr">
        <is>
          <t>OpenRent, London</t>
        </is>
      </c>
      <c r="M79" t="n">
        <v>96668</v>
      </c>
      <c r="N79" t="inlineStr">
        <is>
          <t>Added yesterday</t>
        </is>
      </c>
      <c r="O79" t="inlineStr">
        <is>
          <t>2025-10-15T02:05:49Z</t>
        </is>
      </c>
      <c r="Q79" t="inlineStr">
        <is>
          <t>W5</t>
        </is>
      </c>
      <c r="R79" t="inlineStr">
        <is>
          <t>2025-10-16T17:42:15.783144</t>
        </is>
      </c>
      <c r="S79" t="inlineStr">
        <is>
          <t>{'let available date': '20/10/2025', 'deposit': '£1,846', 'min. tenancy': 'Ask agent', 'let type': 'Long term', 'furnish type': 'Unfurnished', 'council tax': 'Ask agent'}</t>
        </is>
      </c>
      <c r="V79" t="b">
        <v>1</v>
      </c>
      <c r="X79" t="n">
        <v>15.37</v>
      </c>
      <c r="Y79" t="n">
        <v>44.8</v>
      </c>
      <c r="Z79">
        <f>IF(AND(ISNUMBER(B79), ISNUMBER(MIN(B$2:B$486)), ISNUMBER(MAX(B$2:B$486))), IF(MAX(B$2:B$486)=MIN(B$2:B$486), 50, ROUND((MAX(B$2:B$486)-B79)/(MAX(B$2:B$486)-MIN(B$2:B$486))*100, 2)), "")</f>
        <v/>
      </c>
      <c r="AA79">
        <f>IF(AND(ISNUMBER(X79), ISNUMBER(MIN(X$2:X$486)), ISNUMBER(MAX(X$2:X$486))), IF(MAX(X$2:X$486)=MIN(X$2:X$486), 50, ROUND((MAX(X$2:X$486)-X79)/(MAX(X$2:X$486)-MIN(X$2:X$486))*100, 2)), "")</f>
        <v/>
      </c>
      <c r="AB79">
        <f>IF(AND(ISNUMBER(U79), ISNUMBER(MIN(U$2:U$486)), ISNUMBER(MAX(U$2:U$486))), IF(MAX(U$2:U$486)=MIN(U$2:U$486), 50, ROUND((U79-MIN(U$2:U$486))/(MAX(U$2:U$486)-MIN(U$2:U$486))*100, 2)), "")</f>
        <v/>
      </c>
      <c r="AC79">
        <f>IF(AND(ISNUMBER(Z79), ISNUMBER(AA79), ISNUMBER(AB79)), ROUND((Z79+AA79+AB79)/3, 2), "")</f>
        <v/>
      </c>
    </row>
    <row r="80">
      <c r="A80" t="n">
        <v>87326826</v>
      </c>
      <c r="B80" t="n">
        <v>1725</v>
      </c>
      <c r="C80" t="inlineStr">
        <is>
          <t>£1,725 pcm</t>
        </is>
      </c>
      <c r="D80" t="inlineStr">
        <is>
          <t>monthly</t>
        </is>
      </c>
      <c r="E80" t="inlineStr">
        <is>
          <t>Flat</t>
        </is>
      </c>
      <c r="F80" t="n">
        <v>2</v>
      </c>
      <c r="G80" t="n">
        <v>1</v>
      </c>
      <c r="H80" t="inlineStr">
        <is>
          <t>Caversham Court, New Southgate</t>
        </is>
      </c>
      <c r="I80" t="inlineStr">
        <is>
          <t>Spacious 2-bed flat in Caversham Court, New Southgate. Furnished or unfurnished with 1 reception, bathroom with shower. Features include allocated parking, garden, dishwasher, washing machine, gas central heating. Council Tax Band C.</t>
        </is>
      </c>
      <c r="J80" t="inlineStr">
        <is>
          <t>https://www.rightmove.co.uk/properties/87326826#/?channel=RES_LET</t>
        </is>
      </c>
      <c r="K80" t="inlineStr">
        <is>
          <t>/property-to-rent/contactBranch.html?propertyId=87326826</t>
        </is>
      </c>
      <c r="L80" t="inlineStr">
        <is>
          <t>Peter Michael Estates &amp; Lettings, London</t>
        </is>
      </c>
      <c r="M80" t="n">
        <v>25176</v>
      </c>
      <c r="N80" t="inlineStr">
        <is>
          <t>Added on 14/10/2025</t>
        </is>
      </c>
      <c r="O80" t="inlineStr">
        <is>
          <t>2025-10-14T19:22:38Z</t>
        </is>
      </c>
      <c r="R80" t="inlineStr">
        <is>
          <t>2025-10-16T17:42:15.783147</t>
        </is>
      </c>
      <c r="S80" t="inlineStr">
        <is>
          <t>{'let available date': '01/11/2025', 'deposit': 'Ask agent', 'min. tenancy': 'Ask agent', 'let type': 'Long term', 'furnish type': 'Furnished or unfurnished, landlord is flexible', 'council tax': 'Ask agent'}</t>
        </is>
      </c>
      <c r="T80" t="n">
        <v>517</v>
      </c>
      <c r="U80" t="n">
        <v>48</v>
      </c>
      <c r="V80" t="b">
        <v>1</v>
      </c>
      <c r="X80" t="n">
        <v>14.94</v>
      </c>
      <c r="Y80" t="n">
        <v>44.6</v>
      </c>
      <c r="Z80">
        <f>IF(AND(ISNUMBER(B80), ISNUMBER(MIN(B$2:B$486)), ISNUMBER(MAX(B$2:B$486))), IF(MAX(B$2:B$486)=MIN(B$2:B$486), 50, ROUND((MAX(B$2:B$486)-B80)/(MAX(B$2:B$486)-MIN(B$2:B$486))*100, 2)), "")</f>
        <v/>
      </c>
      <c r="AA80">
        <f>IF(AND(ISNUMBER(X80), ISNUMBER(MIN(X$2:X$486)), ISNUMBER(MAX(X$2:X$486))), IF(MAX(X$2:X$486)=MIN(X$2:X$486), 50, ROUND((MAX(X$2:X$486)-X80)/(MAX(X$2:X$486)-MIN(X$2:X$486))*100, 2)), "")</f>
        <v/>
      </c>
      <c r="AB80">
        <f>IF(AND(ISNUMBER(U80), ISNUMBER(MIN(U$2:U$486)), ISNUMBER(MAX(U$2:U$486))), IF(MAX(U$2:U$486)=MIN(U$2:U$486), 50, ROUND((U80-MIN(U$2:U$486))/(MAX(U$2:U$486)-MIN(U$2:U$486))*100, 2)), "")</f>
        <v/>
      </c>
      <c r="AC80">
        <f>IF(AND(ISNUMBER(Z80), ISNUMBER(AA80), ISNUMBER(AB80)), ROUND((Z80+AA80+AB80)/3, 2), "")</f>
        <v/>
      </c>
    </row>
    <row r="81">
      <c r="A81" t="n">
        <v>87325296</v>
      </c>
      <c r="B81" t="n">
        <v>1750</v>
      </c>
      <c r="C81" t="inlineStr">
        <is>
          <t>£1,750 pcm</t>
        </is>
      </c>
      <c r="D81" t="inlineStr">
        <is>
          <t>monthly</t>
        </is>
      </c>
      <c r="E81" t="inlineStr">
        <is>
          <t>Flat</t>
        </is>
      </c>
      <c r="F81" t="n">
        <v>2</v>
      </c>
      <c r="G81" t="n">
        <v>2</v>
      </c>
      <c r="H81" t="inlineStr">
        <is>
          <t>Wilcox Road, Teddington</t>
        </is>
      </c>
      <c r="I81" t="inlineStr">
        <is>
          <t>With its own entrance, is this two bedroom split level apartment, perfect for a couple or small family. Ideally located for shops, schools and Fulwell train station. With the benefit of off street parking.</t>
        </is>
      </c>
      <c r="J81" t="inlineStr">
        <is>
          <t>https://www.rightmove.co.uk/properties/87325296#/?channel=RES_LET</t>
        </is>
      </c>
      <c r="K81" t="inlineStr">
        <is>
          <t>/property-to-rent/contactBranch.html?propertyId=87325296</t>
        </is>
      </c>
      <c r="L81" t="inlineStr">
        <is>
          <t>Jackson-Stops, Teddington</t>
        </is>
      </c>
      <c r="M81" t="n">
        <v>52713</v>
      </c>
      <c r="N81" t="inlineStr">
        <is>
          <t>Added on 14/10/2025</t>
        </is>
      </c>
      <c r="O81" t="inlineStr">
        <is>
          <t>2025-10-14T18:12:52Z</t>
        </is>
      </c>
      <c r="R81" t="inlineStr">
        <is>
          <t>2025-10-16T17:42:15.783149</t>
        </is>
      </c>
      <c r="S81" t="inlineStr">
        <is>
          <t>{'let available date': 'Ask agent', 'deposit': '£2,019', 'min. tenancy': 'Ask agent', 'let type': 'Long term', 'furnish type': 'Unfurnished', 'council tax': 'Ask agent'}</t>
        </is>
      </c>
      <c r="V81" t="b">
        <v>1</v>
      </c>
      <c r="X81" t="n">
        <v>21.52</v>
      </c>
      <c r="Y81" t="n">
        <v>60.4</v>
      </c>
      <c r="Z81">
        <f>IF(AND(ISNUMBER(B81), ISNUMBER(MIN(B$2:B$486)), ISNUMBER(MAX(B$2:B$486))), IF(MAX(B$2:B$486)=MIN(B$2:B$486), 50, ROUND((MAX(B$2:B$486)-B81)/(MAX(B$2:B$486)-MIN(B$2:B$486))*100, 2)), "")</f>
        <v/>
      </c>
      <c r="AA81">
        <f>IF(AND(ISNUMBER(X81), ISNUMBER(MIN(X$2:X$486)), ISNUMBER(MAX(X$2:X$486))), IF(MAX(X$2:X$486)=MIN(X$2:X$486), 50, ROUND((MAX(X$2:X$486)-X81)/(MAX(X$2:X$486)-MIN(X$2:X$486))*100, 2)), "")</f>
        <v/>
      </c>
      <c r="AB81">
        <f>IF(AND(ISNUMBER(U81), ISNUMBER(MIN(U$2:U$486)), ISNUMBER(MAX(U$2:U$486))), IF(MAX(U$2:U$486)=MIN(U$2:U$486), 50, ROUND((U81-MIN(U$2:U$486))/(MAX(U$2:U$486)-MIN(U$2:U$486))*100, 2)), "")</f>
        <v/>
      </c>
      <c r="AC81">
        <f>IF(AND(ISNUMBER(Z81), ISNUMBER(AA81), ISNUMBER(AB81)), ROUND((Z81+AA81+AB81)/3, 2), "")</f>
        <v/>
      </c>
    </row>
    <row r="82">
      <c r="A82" t="n">
        <v>87324744</v>
      </c>
      <c r="B82" t="n">
        <v>1750</v>
      </c>
      <c r="C82" t="inlineStr">
        <is>
          <t>£1,750 pcm</t>
        </is>
      </c>
      <c r="D82" t="inlineStr">
        <is>
          <t>monthly</t>
        </is>
      </c>
      <c r="E82" t="inlineStr">
        <is>
          <t>Apartment</t>
        </is>
      </c>
      <c r="F82" t="n">
        <v>2</v>
      </c>
      <c r="G82" t="n">
        <v>1</v>
      </c>
      <c r="H82" t="inlineStr">
        <is>
          <t>Colney Hatch Lane, Muswell Hill, London, N10</t>
        </is>
      </c>
      <c r="I82" t="inlineStr">
        <is>
          <t xml:space="preserve">A Bright Two Bedroom TOP FLOOR Flat close to Muswell Hill Park. The property benefits DOUBLE GLAZING CENTRAL HEATING WOOD FLOORS and comprises A LARGE LIVING ROOM , A SEPARATE FITTED KITCHEN, two Bedrooms, TILE BATHROOM WC, Bathroom and COMMUNAL GARDEN. Furnished </t>
        </is>
      </c>
      <c r="J82" t="inlineStr">
        <is>
          <t>https://www.rightmove.co.uk/properties/87324744#/?channel=RES_LET</t>
        </is>
      </c>
      <c r="K82" t="inlineStr">
        <is>
          <t>/property-to-rent/contactBranch.html?propertyId=87324744</t>
        </is>
      </c>
      <c r="L82" t="inlineStr">
        <is>
          <t>Drivers &amp; Norris, Finchley</t>
        </is>
      </c>
      <c r="M82" t="n">
        <v>260939</v>
      </c>
      <c r="N82" t="inlineStr">
        <is>
          <t>Added on 14/10/2025</t>
        </is>
      </c>
      <c r="O82" t="inlineStr">
        <is>
          <t>2025-10-14T17:56:20Z</t>
        </is>
      </c>
      <c r="Q82" t="inlineStr">
        <is>
          <t>N10</t>
        </is>
      </c>
      <c r="R82" t="inlineStr">
        <is>
          <t>2025-10-16T17:42:15.783152</t>
        </is>
      </c>
      <c r="S82" t="inlineStr">
        <is>
          <t>{'let available date': 'Now', 'deposit': '£2,019', 'min. tenancy': 'Ask agent', 'let type': 'Long term', 'furnish type': 'Furnished', 'council tax': 'Ask agent'}</t>
        </is>
      </c>
      <c r="V82" t="b">
        <v>1</v>
      </c>
      <c r="X82" t="n">
        <v>11.21</v>
      </c>
      <c r="Y82" t="n">
        <v>42.9</v>
      </c>
      <c r="Z82">
        <f>IF(AND(ISNUMBER(B82), ISNUMBER(MIN(B$2:B$486)), ISNUMBER(MAX(B$2:B$486))), IF(MAX(B$2:B$486)=MIN(B$2:B$486), 50, ROUND((MAX(B$2:B$486)-B82)/(MAX(B$2:B$486)-MIN(B$2:B$486))*100, 2)), "")</f>
        <v/>
      </c>
      <c r="AA82">
        <f>IF(AND(ISNUMBER(X82), ISNUMBER(MIN(X$2:X$486)), ISNUMBER(MAX(X$2:X$486))), IF(MAX(X$2:X$486)=MIN(X$2:X$486), 50, ROUND((MAX(X$2:X$486)-X82)/(MAX(X$2:X$486)-MIN(X$2:X$486))*100, 2)), "")</f>
        <v/>
      </c>
      <c r="AB82">
        <f>IF(AND(ISNUMBER(U82), ISNUMBER(MIN(U$2:U$486)), ISNUMBER(MAX(U$2:U$486))), IF(MAX(U$2:U$486)=MIN(U$2:U$486), 50, ROUND((U82-MIN(U$2:U$486))/(MAX(U$2:U$486)-MIN(U$2:U$486))*100, 2)), "")</f>
        <v/>
      </c>
      <c r="AC82">
        <f>IF(AND(ISNUMBER(Z82), ISNUMBER(AA82), ISNUMBER(AB82)), ROUND((Z82+AA82+AB82)/3, 2), "")</f>
        <v/>
      </c>
    </row>
    <row r="83">
      <c r="A83" t="n">
        <v>87324363</v>
      </c>
      <c r="B83" t="n">
        <v>1600</v>
      </c>
      <c r="C83" t="inlineStr">
        <is>
          <t>£1,600 pcm</t>
        </is>
      </c>
      <c r="D83" t="inlineStr">
        <is>
          <t>monthly</t>
        </is>
      </c>
      <c r="E83" t="inlineStr">
        <is>
          <t>Apartment</t>
        </is>
      </c>
      <c r="F83" t="n">
        <v>2</v>
      </c>
      <c r="G83" t="n">
        <v>1</v>
      </c>
      <c r="H83" t="inlineStr">
        <is>
          <t>Plough Lane, WALLINGTON</t>
        </is>
      </c>
      <c r="I83" t="inlineStr">
        <is>
          <t>Barnard Marcus present Plough Lane, a newly refurbished Two Bedroom Ground Floor Apartment.</t>
        </is>
      </c>
      <c r="J83" t="inlineStr">
        <is>
          <t>https://www.rightmove.co.uk/properties/87324363#/?channel=RES_LET</t>
        </is>
      </c>
      <c r="K83" t="inlineStr">
        <is>
          <t>/property-to-rent/contactBranch.html?propertyId=87324363</t>
        </is>
      </c>
      <c r="L83" t="inlineStr">
        <is>
          <t>Barnard Marcus Lettings, South Croydon Lettings</t>
        </is>
      </c>
      <c r="M83" t="n">
        <v>50960</v>
      </c>
      <c r="N83" t="inlineStr">
        <is>
          <t>Added on 14/10/2025</t>
        </is>
      </c>
      <c r="O83" t="inlineStr">
        <is>
          <t>2025-10-14T17:46:22Z</t>
        </is>
      </c>
      <c r="R83" t="inlineStr">
        <is>
          <t>2025-10-16T17:42:15.783155</t>
        </is>
      </c>
      <c r="S83" t="inlineStr">
        <is>
          <t>{'let available date': 'Now', 'deposit': '£1,846', 'min. tenancy': 'Ask agent', 'let type': 'Long term', 'furnish type': 'Unfurnished', 'council tax': 'Ask agent'}</t>
        </is>
      </c>
      <c r="V83" t="b">
        <v>1</v>
      </c>
      <c r="X83" t="n">
        <v>20.71</v>
      </c>
      <c r="Y83" t="n">
        <v>63.7</v>
      </c>
      <c r="Z83">
        <f>IF(AND(ISNUMBER(B83), ISNUMBER(MIN(B$2:B$486)), ISNUMBER(MAX(B$2:B$486))), IF(MAX(B$2:B$486)=MIN(B$2:B$486), 50, ROUND((MAX(B$2:B$486)-B83)/(MAX(B$2:B$486)-MIN(B$2:B$486))*100, 2)), "")</f>
        <v/>
      </c>
      <c r="AA83">
        <f>IF(AND(ISNUMBER(X83), ISNUMBER(MIN(X$2:X$486)), ISNUMBER(MAX(X$2:X$486))), IF(MAX(X$2:X$486)=MIN(X$2:X$486), 50, ROUND((MAX(X$2:X$486)-X83)/(MAX(X$2:X$486)-MIN(X$2:X$486))*100, 2)), "")</f>
        <v/>
      </c>
      <c r="AB83">
        <f>IF(AND(ISNUMBER(U83), ISNUMBER(MIN(U$2:U$486)), ISNUMBER(MAX(U$2:U$486))), IF(MAX(U$2:U$486)=MIN(U$2:U$486), 50, ROUND((U83-MIN(U$2:U$486))/(MAX(U$2:U$486)-MIN(U$2:U$486))*100, 2)), "")</f>
        <v/>
      </c>
      <c r="AC83">
        <f>IF(AND(ISNUMBER(Z83), ISNUMBER(AA83), ISNUMBER(AB83)), ROUND((Z83+AA83+AB83)/3, 2), "")</f>
        <v/>
      </c>
    </row>
    <row r="84">
      <c r="A84" t="n">
        <v>87321627</v>
      </c>
      <c r="B84" t="n">
        <v>1750</v>
      </c>
      <c r="C84" t="inlineStr">
        <is>
          <t>£1,750 pcm</t>
        </is>
      </c>
      <c r="D84" t="inlineStr">
        <is>
          <t>monthly</t>
        </is>
      </c>
      <c r="E84" t="inlineStr">
        <is>
          <t>Flat</t>
        </is>
      </c>
      <c r="F84" t="n">
        <v>2</v>
      </c>
      <c r="G84" t="n">
        <v>1</v>
      </c>
      <c r="H84" t="inlineStr">
        <is>
          <t>Cator Road Sydenham SE26</t>
        </is>
      </c>
      <c r="I84" t="inlineStr">
        <is>
          <t>Spacious and modern two bedroom top floor flat to rent on Cator Road. Boasting a superb location this flat is a short distance from Sydenham High Street as well as being near to local transport links and being close to Penge East station. EPC Rating C.</t>
        </is>
      </c>
      <c r="J84" t="inlineStr">
        <is>
          <t>https://www.rightmove.co.uk/properties/87321627#/?channel=RES_LET</t>
        </is>
      </c>
      <c r="K84" t="inlineStr">
        <is>
          <t>/property-to-rent/contactBranch.html?propertyId=87321627</t>
        </is>
      </c>
      <c r="L84" t="inlineStr">
        <is>
          <t>Acorn, Sydenham</t>
        </is>
      </c>
      <c r="M84" t="n">
        <v>50680</v>
      </c>
      <c r="N84" t="inlineStr">
        <is>
          <t>Added on 14/10/2025</t>
        </is>
      </c>
      <c r="O84" t="inlineStr">
        <is>
          <t>2025-10-14T17:05:39Z</t>
        </is>
      </c>
      <c r="Q84" t="inlineStr">
        <is>
          <t>SE26</t>
        </is>
      </c>
      <c r="R84" t="inlineStr">
        <is>
          <t>2025-10-16T17:42:15.783157</t>
        </is>
      </c>
      <c r="S84" t="inlineStr">
        <is>
          <t>{'let available date': '11/12/2025', 'deposit': '£2,019', 'min. tenancy': '6 months', 'let type': 'Long term', 'furnish type': 'Furnished', 'council tax': 'Ask agent'}</t>
        </is>
      </c>
      <c r="V84" t="b">
        <v>1</v>
      </c>
      <c r="X84" t="n">
        <v>14.14</v>
      </c>
      <c r="Y84" t="n">
        <v>49.6</v>
      </c>
      <c r="Z84">
        <f>IF(AND(ISNUMBER(B84), ISNUMBER(MIN(B$2:B$486)), ISNUMBER(MAX(B$2:B$486))), IF(MAX(B$2:B$486)=MIN(B$2:B$486), 50, ROUND((MAX(B$2:B$486)-B84)/(MAX(B$2:B$486)-MIN(B$2:B$486))*100, 2)), "")</f>
        <v/>
      </c>
      <c r="AA84">
        <f>IF(AND(ISNUMBER(X84), ISNUMBER(MIN(X$2:X$486)), ISNUMBER(MAX(X$2:X$486))), IF(MAX(X$2:X$486)=MIN(X$2:X$486), 50, ROUND((MAX(X$2:X$486)-X84)/(MAX(X$2:X$486)-MIN(X$2:X$486))*100, 2)), "")</f>
        <v/>
      </c>
      <c r="AB84">
        <f>IF(AND(ISNUMBER(U84), ISNUMBER(MIN(U$2:U$486)), ISNUMBER(MAX(U$2:U$486))), IF(MAX(U$2:U$486)=MIN(U$2:U$486), 50, ROUND((U84-MIN(U$2:U$486))/(MAX(U$2:U$486)-MIN(U$2:U$486))*100, 2)), "")</f>
        <v/>
      </c>
      <c r="AC84">
        <f>IF(AND(ISNUMBER(Z84), ISNUMBER(AA84), ISNUMBER(AB84)), ROUND((Z84+AA84+AB84)/3, 2), "")</f>
        <v/>
      </c>
    </row>
    <row r="85">
      <c r="A85" t="n">
        <v>87320508</v>
      </c>
      <c r="B85" t="n">
        <v>1700</v>
      </c>
      <c r="C85" t="inlineStr">
        <is>
          <t>£1,700 pcm</t>
        </is>
      </c>
      <c r="D85" t="inlineStr">
        <is>
          <t>monthly</t>
        </is>
      </c>
      <c r="E85" t="inlineStr">
        <is>
          <t>Apartment</t>
        </is>
      </c>
      <c r="F85" t="n">
        <v>2</v>
      </c>
      <c r="G85" t="n">
        <v>1</v>
      </c>
      <c r="H85" t="inlineStr">
        <is>
          <t>Green Lane, Morden, Surrey, SM4</t>
        </is>
      </c>
      <c r="I85" t="inlineStr">
        <is>
          <t>TWO DOUBLE BEDROOM FLAT IN THE HEART OF ROSEHILL A modern and spacious two double bedroom flat ideally located in the heart of Rosehill, close to a wide range of local amenities. The property is within easy reach of St Helier Hospital, convenient bus routes to Sutton, Morden, and Croydon, an...</t>
        </is>
      </c>
      <c r="J85" t="inlineStr">
        <is>
          <t>https://www.rightmove.co.uk/properties/87320508#/?channel=RES_LET</t>
        </is>
      </c>
      <c r="K85" t="inlineStr">
        <is>
          <t>/property-to-rent/contactBranch.html?propertyId=87320508</t>
        </is>
      </c>
      <c r="L85" t="inlineStr">
        <is>
          <t>Goodfellows, Morden - Lettings</t>
        </is>
      </c>
      <c r="M85" t="n">
        <v>8972</v>
      </c>
      <c r="N85" t="inlineStr">
        <is>
          <t>Added on 14/10/2025</t>
        </is>
      </c>
      <c r="O85" t="inlineStr">
        <is>
          <t>2025-10-14T16:51:23Z</t>
        </is>
      </c>
      <c r="Q85" t="inlineStr">
        <is>
          <t>SM4</t>
        </is>
      </c>
      <c r="R85" t="inlineStr">
        <is>
          <t>2025-10-16T17:42:15.783159</t>
        </is>
      </c>
      <c r="S85" t="inlineStr">
        <is>
          <t>{'let available date': '09/12/2025', 'deposit': '£0', 'min. tenancy': 'Ask agent', 'let type': 'Long term', 'furnish type': 'Ask agent', 'council tax': 'Ask agent'}</t>
        </is>
      </c>
      <c r="V85" t="b">
        <v>1</v>
      </c>
      <c r="X85" t="n">
        <v>17.73</v>
      </c>
      <c r="Y85" t="n">
        <v>58.1</v>
      </c>
      <c r="Z85">
        <f>IF(AND(ISNUMBER(B85), ISNUMBER(MIN(B$2:B$486)), ISNUMBER(MAX(B$2:B$486))), IF(MAX(B$2:B$486)=MIN(B$2:B$486), 50, ROUND((MAX(B$2:B$486)-B85)/(MAX(B$2:B$486)-MIN(B$2:B$486))*100, 2)), "")</f>
        <v/>
      </c>
      <c r="AA85">
        <f>IF(AND(ISNUMBER(X85), ISNUMBER(MIN(X$2:X$486)), ISNUMBER(MAX(X$2:X$486))), IF(MAX(X$2:X$486)=MIN(X$2:X$486), 50, ROUND((MAX(X$2:X$486)-X85)/(MAX(X$2:X$486)-MIN(X$2:X$486))*100, 2)), "")</f>
        <v/>
      </c>
      <c r="AB85">
        <f>IF(AND(ISNUMBER(U85), ISNUMBER(MIN(U$2:U$486)), ISNUMBER(MAX(U$2:U$486))), IF(MAX(U$2:U$486)=MIN(U$2:U$486), 50, ROUND((U85-MIN(U$2:U$486))/(MAX(U$2:U$486)-MIN(U$2:U$486))*100, 2)), "")</f>
        <v/>
      </c>
      <c r="AC85">
        <f>IF(AND(ISNUMBER(Z85), ISNUMBER(AA85), ISNUMBER(AB85)), ROUND((Z85+AA85+AB85)/3, 2), "")</f>
        <v/>
      </c>
    </row>
    <row r="86">
      <c r="A86" t="n">
        <v>87318210</v>
      </c>
      <c r="B86" t="n">
        <v>1650</v>
      </c>
      <c r="C86" t="inlineStr">
        <is>
          <t>£1,650 pcm</t>
        </is>
      </c>
      <c r="D86" t="inlineStr">
        <is>
          <t>monthly</t>
        </is>
      </c>
      <c r="E86" t="inlineStr">
        <is>
          <t>Flat</t>
        </is>
      </c>
      <c r="F86" t="n">
        <v>2</v>
      </c>
      <c r="G86" t="n">
        <v>1</v>
      </c>
      <c r="H86" t="inlineStr">
        <is>
          <t>Mount Pleasant Road, London, SE13</t>
        </is>
      </c>
      <c r="I86" t="inlineStr">
        <is>
          <t>*AVAILABLE NOW / PERMIT PARKING / WHITE GOODS / SPLIT-LEVEL* This LOVELY two-bedroom apartment presents a thoughtfully designed living space, featuring a bright and inviting reception room, two well-proportioned bedrooms, a contemporary kitchen fully equipped with high-quality applianc...</t>
        </is>
      </c>
      <c r="J86" t="inlineStr">
        <is>
          <t>https://www.rightmove.co.uk/properties/87318210#/?channel=RES_LET</t>
        </is>
      </c>
      <c r="K86" t="inlineStr">
        <is>
          <t>/property-to-rent/contactBranch.html?propertyId=87318210</t>
        </is>
      </c>
      <c r="L86" t="inlineStr">
        <is>
          <t>Robinson Jackson, Lee</t>
        </is>
      </c>
      <c r="M86" t="n">
        <v>246929</v>
      </c>
      <c r="N86" t="inlineStr">
        <is>
          <t>Added on 14/10/2025</t>
        </is>
      </c>
      <c r="O86" t="inlineStr">
        <is>
          <t>2025-10-14T16:22:22Z</t>
        </is>
      </c>
      <c r="Q86" t="inlineStr">
        <is>
          <t>SE13</t>
        </is>
      </c>
      <c r="R86" t="inlineStr">
        <is>
          <t>2025-10-16T17:42:15.783161</t>
        </is>
      </c>
      <c r="S86" t="inlineStr">
        <is>
          <t>{'let available date': 'Now', 'deposit': '£1,903', 'min. tenancy': '12 months', 'let type': 'Long term', 'furnish type': 'Unfurnished', 'council tax': 'Ask agent'}</t>
        </is>
      </c>
      <c r="V86" t="b">
        <v>1</v>
      </c>
      <c r="X86" t="n">
        <v>12.97</v>
      </c>
      <c r="Y86" t="n">
        <v>49.7</v>
      </c>
      <c r="Z86">
        <f>IF(AND(ISNUMBER(B86), ISNUMBER(MIN(B$2:B$486)), ISNUMBER(MAX(B$2:B$486))), IF(MAX(B$2:B$486)=MIN(B$2:B$486), 50, ROUND((MAX(B$2:B$486)-B86)/(MAX(B$2:B$486)-MIN(B$2:B$486))*100, 2)), "")</f>
        <v/>
      </c>
      <c r="AA86">
        <f>IF(AND(ISNUMBER(X86), ISNUMBER(MIN(X$2:X$486)), ISNUMBER(MAX(X$2:X$486))), IF(MAX(X$2:X$486)=MIN(X$2:X$486), 50, ROUND((MAX(X$2:X$486)-X86)/(MAX(X$2:X$486)-MIN(X$2:X$486))*100, 2)), "")</f>
        <v/>
      </c>
      <c r="AB86">
        <f>IF(AND(ISNUMBER(U86), ISNUMBER(MIN(U$2:U$486)), ISNUMBER(MAX(U$2:U$486))), IF(MAX(U$2:U$486)=MIN(U$2:U$486), 50, ROUND((U86-MIN(U$2:U$486))/(MAX(U$2:U$486)-MIN(U$2:U$486))*100, 2)), "")</f>
        <v/>
      </c>
      <c r="AC86">
        <f>IF(AND(ISNUMBER(Z86), ISNUMBER(AA86), ISNUMBER(AB86)), ROUND((Z86+AA86+AB86)/3, 2), "")</f>
        <v/>
      </c>
    </row>
    <row r="87">
      <c r="A87" t="n">
        <v>87316197</v>
      </c>
      <c r="B87" t="n">
        <v>1700</v>
      </c>
      <c r="C87" t="inlineStr">
        <is>
          <t>£1,700 pcm</t>
        </is>
      </c>
      <c r="D87" t="inlineStr">
        <is>
          <t>monthly</t>
        </is>
      </c>
      <c r="E87" t="inlineStr">
        <is>
          <t>Flat</t>
        </is>
      </c>
      <c r="F87" t="n">
        <v>2</v>
      </c>
      <c r="G87" t="n">
        <v>1</v>
      </c>
      <c r="H87" t="inlineStr">
        <is>
          <t>Wood Street, London, E17</t>
        </is>
      </c>
      <c r="I87" t="inlineStr">
        <is>
          <t>Available October is this two bedroom flat located next to Wood Street Station. The property offers a large living room with space for dining, two bedrooms, modern bathroom, kitchen, balcony and communal garden. Wood Street Station can be found a very short walk away, offering th...</t>
        </is>
      </c>
      <c r="J87" t="inlineStr">
        <is>
          <t>https://www.rightmove.co.uk/properties/87316197#/?channel=RES_LET</t>
        </is>
      </c>
      <c r="K87" t="inlineStr">
        <is>
          <t>/property-to-rent/contactBranch.html?propertyId=87316197</t>
        </is>
      </c>
      <c r="L87" t="inlineStr">
        <is>
          <t>Central Estate Agents, Walthamstow</t>
        </is>
      </c>
      <c r="M87" t="n">
        <v>6323</v>
      </c>
      <c r="N87" t="inlineStr">
        <is>
          <t>Added on 14/10/2025</t>
        </is>
      </c>
      <c r="O87" t="inlineStr">
        <is>
          <t>2025-10-14T15:54:17Z</t>
        </is>
      </c>
      <c r="Q87" t="inlineStr">
        <is>
          <t>E17</t>
        </is>
      </c>
      <c r="R87" t="inlineStr">
        <is>
          <t>2025-10-16T17:42:15.783164</t>
        </is>
      </c>
      <c r="S87" t="inlineStr">
        <is>
          <t>{'let available date': '31/10/2025', 'deposit': '£0', 'min. tenancy': 'Ask agent', 'let type': 'Long term', 'furnish type': 'Unfurnished', 'council tax': 'Ask agent'}</t>
        </is>
      </c>
      <c r="V87" t="b">
        <v>1</v>
      </c>
      <c r="X87" t="n">
        <v>14.24</v>
      </c>
      <c r="Y87" t="n">
        <v>55.8</v>
      </c>
      <c r="Z87">
        <f>IF(AND(ISNUMBER(B87), ISNUMBER(MIN(B$2:B$486)), ISNUMBER(MAX(B$2:B$486))), IF(MAX(B$2:B$486)=MIN(B$2:B$486), 50, ROUND((MAX(B$2:B$486)-B87)/(MAX(B$2:B$486)-MIN(B$2:B$486))*100, 2)), "")</f>
        <v/>
      </c>
      <c r="AA87">
        <f>IF(AND(ISNUMBER(X87), ISNUMBER(MIN(X$2:X$486)), ISNUMBER(MAX(X$2:X$486))), IF(MAX(X$2:X$486)=MIN(X$2:X$486), 50, ROUND((MAX(X$2:X$486)-X87)/(MAX(X$2:X$486)-MIN(X$2:X$486))*100, 2)), "")</f>
        <v/>
      </c>
      <c r="AB87">
        <f>IF(AND(ISNUMBER(U87), ISNUMBER(MIN(U$2:U$486)), ISNUMBER(MAX(U$2:U$486))), IF(MAX(U$2:U$486)=MIN(U$2:U$486), 50, ROUND((U87-MIN(U$2:U$486))/(MAX(U$2:U$486)-MIN(U$2:U$486))*100, 2)), "")</f>
        <v/>
      </c>
      <c r="AC87">
        <f>IF(AND(ISNUMBER(Z87), ISNUMBER(AA87), ISNUMBER(AB87)), ROUND((Z87+AA87+AB87)/3, 2), "")</f>
        <v/>
      </c>
    </row>
    <row r="88">
      <c r="A88" t="n">
        <v>87315858</v>
      </c>
      <c r="B88" t="n">
        <v>1550</v>
      </c>
      <c r="C88" t="inlineStr">
        <is>
          <t>£1,550 pcm</t>
        </is>
      </c>
      <c r="D88" t="inlineStr">
        <is>
          <t>monthly</t>
        </is>
      </c>
      <c r="E88" t="inlineStr">
        <is>
          <t>Flat</t>
        </is>
      </c>
      <c r="F88" t="n">
        <v>2</v>
      </c>
      <c r="G88" t="n">
        <v>2</v>
      </c>
      <c r="H88" t="inlineStr">
        <is>
          <t>Overton Road, Sutton, Surrey, SM2</t>
        </is>
      </c>
      <c r="I88" t="inlineStr">
        <is>
          <t>Your Move are pleased to present this well-maintained two-bedroom, two-bathroom purpose-built apartment available to rent in the sought-after SM2 area. Ideally located within walking distance of Sutton mainline station and local amenities, this property offers both convenience and comf...</t>
        </is>
      </c>
      <c r="J88" t="inlineStr">
        <is>
          <t>https://www.rightmove.co.uk/properties/87315858#/?channel=RES_LET</t>
        </is>
      </c>
      <c r="K88" t="inlineStr">
        <is>
          <t>/property-to-rent/contactBranch.html?propertyId=87315858</t>
        </is>
      </c>
      <c r="L88" t="inlineStr">
        <is>
          <t>Your Move, Sutton</t>
        </is>
      </c>
      <c r="M88" t="n">
        <v>6592</v>
      </c>
      <c r="N88" t="inlineStr">
        <is>
          <t>Added on 14/10/2025</t>
        </is>
      </c>
      <c r="O88" t="inlineStr">
        <is>
          <t>2025-10-14T15:49:26Z</t>
        </is>
      </c>
      <c r="Q88" t="inlineStr">
        <is>
          <t>SM2</t>
        </is>
      </c>
      <c r="R88" t="inlineStr">
        <is>
          <t>2025-10-16T17:42:15.783166</t>
        </is>
      </c>
      <c r="S88" t="inlineStr">
        <is>
          <t>{'let available date': '27/10/2025', 'deposit': '£1,785', 'min. tenancy': '6 months', 'let type': 'Long term', 'furnish type': 'Unfurnished', 'council tax': 'Ask agent'}</t>
        </is>
      </c>
      <c r="V88" t="b">
        <v>1</v>
      </c>
      <c r="X88" t="n">
        <v>24.26</v>
      </c>
      <c r="Y88" t="n">
        <v>66.3</v>
      </c>
      <c r="Z88">
        <f>IF(AND(ISNUMBER(B88), ISNUMBER(MIN(B$2:B$486)), ISNUMBER(MAX(B$2:B$486))), IF(MAX(B$2:B$486)=MIN(B$2:B$486), 50, ROUND((MAX(B$2:B$486)-B88)/(MAX(B$2:B$486)-MIN(B$2:B$486))*100, 2)), "")</f>
        <v/>
      </c>
      <c r="AA88">
        <f>IF(AND(ISNUMBER(X88), ISNUMBER(MIN(X$2:X$486)), ISNUMBER(MAX(X$2:X$486))), IF(MAX(X$2:X$486)=MIN(X$2:X$486), 50, ROUND((MAX(X$2:X$486)-X88)/(MAX(X$2:X$486)-MIN(X$2:X$486))*100, 2)), "")</f>
        <v/>
      </c>
      <c r="AB88">
        <f>IF(AND(ISNUMBER(U88), ISNUMBER(MIN(U$2:U$486)), ISNUMBER(MAX(U$2:U$486))), IF(MAX(U$2:U$486)=MIN(U$2:U$486), 50, ROUND((U88-MIN(U$2:U$486))/(MAX(U$2:U$486)-MIN(U$2:U$486))*100, 2)), "")</f>
        <v/>
      </c>
      <c r="AC88">
        <f>IF(AND(ISNUMBER(Z88), ISNUMBER(AA88), ISNUMBER(AB88)), ROUND((Z88+AA88+AB88)/3, 2), "")</f>
        <v/>
      </c>
    </row>
    <row r="89">
      <c r="A89" t="n">
        <v>18832358</v>
      </c>
      <c r="B89" t="n">
        <v>1400</v>
      </c>
      <c r="C89" t="inlineStr">
        <is>
          <t>£1,400 pcm</t>
        </is>
      </c>
      <c r="D89" t="inlineStr">
        <is>
          <t>monthly</t>
        </is>
      </c>
      <c r="E89" t="inlineStr">
        <is>
          <t>Flat</t>
        </is>
      </c>
      <c r="F89" t="n">
        <v>2</v>
      </c>
      <c r="G89" t="n">
        <v>1</v>
      </c>
      <c r="H89" t="inlineStr">
        <is>
          <t>Baker Street,Enfield,EN1</t>
        </is>
      </c>
      <c r="I89" t="inlineStr">
        <is>
          <t>WHOLE TOP FLOOR - large two-bedroom unfurnished apartment situated above a public house. Two double bedrooms. Small kitchen with cooker and fridge freezer. Use of pub car park for one car (when available). No pets. No smokers. No children. Available November.</t>
        </is>
      </c>
      <c r="J89" t="inlineStr">
        <is>
          <t>https://www.rightmove.co.uk/properties/18832358#/?channel=RES_LET</t>
        </is>
      </c>
      <c r="K89" t="inlineStr">
        <is>
          <t>/property-to-rent/contactBranch.html?propertyId=18832358</t>
        </is>
      </c>
      <c r="L89" t="inlineStr">
        <is>
          <t>County Lettings Ware Ltd, Ware</t>
        </is>
      </c>
      <c r="M89" t="n">
        <v>44054</v>
      </c>
      <c r="N89" t="inlineStr">
        <is>
          <t>Added on 14/10/2025</t>
        </is>
      </c>
      <c r="O89" t="inlineStr">
        <is>
          <t>2008-01-10T15:17:49Z</t>
        </is>
      </c>
      <c r="Q89" t="inlineStr">
        <is>
          <t>EN1</t>
        </is>
      </c>
      <c r="R89" t="inlineStr">
        <is>
          <t>2025-10-16T17:42:15.783168</t>
        </is>
      </c>
      <c r="S89" t="inlineStr">
        <is>
          <t>{'let available date': 'Ask agent', 'deposit': 'Ask agent', 'min. tenancy': '12 months', 'let type': 'Long term', 'furnish type': 'Unfurnished', 'council tax': 'Ask agent'}</t>
        </is>
      </c>
      <c r="T89" t="n">
        <v>710</v>
      </c>
      <c r="U89" t="n">
        <v>66</v>
      </c>
      <c r="V89" t="b">
        <v>1</v>
      </c>
      <c r="X89" t="n">
        <v>20.62</v>
      </c>
      <c r="Y89" t="n">
        <v>62.4</v>
      </c>
      <c r="Z89">
        <f>IF(AND(ISNUMBER(B89), ISNUMBER(MIN(B$2:B$486)), ISNUMBER(MAX(B$2:B$486))), IF(MAX(B$2:B$486)=MIN(B$2:B$486), 50, ROUND((MAX(B$2:B$486)-B89)/(MAX(B$2:B$486)-MIN(B$2:B$486))*100, 2)), "")</f>
        <v/>
      </c>
      <c r="AA89">
        <f>IF(AND(ISNUMBER(X89), ISNUMBER(MIN(X$2:X$486)), ISNUMBER(MAX(X$2:X$486))), IF(MAX(X$2:X$486)=MIN(X$2:X$486), 50, ROUND((MAX(X$2:X$486)-X89)/(MAX(X$2:X$486)-MIN(X$2:X$486))*100, 2)), "")</f>
        <v/>
      </c>
      <c r="AB89">
        <f>IF(AND(ISNUMBER(U89), ISNUMBER(MIN(U$2:U$486)), ISNUMBER(MAX(U$2:U$486))), IF(MAX(U$2:U$486)=MIN(U$2:U$486), 50, ROUND((U89-MIN(U$2:U$486))/(MAX(U$2:U$486)-MIN(U$2:U$486))*100, 2)), "")</f>
        <v/>
      </c>
      <c r="AC89">
        <f>IF(AND(ISNUMBER(Z89), ISNUMBER(AA89), ISNUMBER(AB89)), ROUND((Z89+AA89+AB89)/3, 2), "")</f>
        <v/>
      </c>
    </row>
    <row r="90">
      <c r="A90" t="n">
        <v>166437692</v>
      </c>
      <c r="B90" t="n">
        <v>1525</v>
      </c>
      <c r="C90" t="inlineStr">
        <is>
          <t>£1,525 pcm</t>
        </is>
      </c>
      <c r="D90" t="inlineStr">
        <is>
          <t>monthly</t>
        </is>
      </c>
      <c r="E90" t="inlineStr">
        <is>
          <t>Flat</t>
        </is>
      </c>
      <c r="F90" t="n">
        <v>2</v>
      </c>
      <c r="G90" t="n">
        <v>1</v>
      </c>
      <c r="H90" t="inlineStr">
        <is>
          <t>Station Road, Mill Hill, NW7</t>
        </is>
      </c>
      <c r="I90" t="inlineStr">
        <is>
          <t>A well presented 2 bedroom flat within 200 metres of Mill Hill Broadway Station. Please note some images have been photoshopped and virtually decluttered to remove personal details and belongings of the current occupant</t>
        </is>
      </c>
      <c r="J90" t="inlineStr">
        <is>
          <t>https://www.rightmove.co.uk/properties/166437692#/?channel=RES_LET</t>
        </is>
      </c>
      <c r="K90" t="inlineStr">
        <is>
          <t>/property-to-rent/contactBranch.html?propertyId=166437692</t>
        </is>
      </c>
      <c r="L90" t="inlineStr">
        <is>
          <t>Northwood, Harrow</t>
        </is>
      </c>
      <c r="M90" t="n">
        <v>42308</v>
      </c>
      <c r="N90" t="inlineStr">
        <is>
          <t>Reduced on 14/10/2025</t>
        </is>
      </c>
      <c r="O90" t="inlineStr">
        <is>
          <t>2025-09-01T13:00:15Z</t>
        </is>
      </c>
      <c r="Q90" t="inlineStr">
        <is>
          <t>NW7</t>
        </is>
      </c>
      <c r="R90" t="inlineStr">
        <is>
          <t>2025-10-16T17:42:15.783170</t>
        </is>
      </c>
      <c r="S90" t="inlineStr">
        <is>
          <t>{'let available date': 'Now', 'deposit': '£1,759', 'min. tenancy': 'Ask agent', 'let type': 'Long term', 'furnish type': 'Furnished or unfurnished, landlord is flexible', 'council tax': 'Ask agent'}</t>
        </is>
      </c>
      <c r="V90" t="b">
        <v>1</v>
      </c>
      <c r="X90" t="n">
        <v>17.56</v>
      </c>
      <c r="Y90" t="n">
        <v>49.1</v>
      </c>
      <c r="Z90">
        <f>IF(AND(ISNUMBER(B90), ISNUMBER(MIN(B$2:B$486)), ISNUMBER(MAX(B$2:B$486))), IF(MAX(B$2:B$486)=MIN(B$2:B$486), 50, ROUND((MAX(B$2:B$486)-B90)/(MAX(B$2:B$486)-MIN(B$2:B$486))*100, 2)), "")</f>
        <v/>
      </c>
      <c r="AA90">
        <f>IF(AND(ISNUMBER(X90), ISNUMBER(MIN(X$2:X$486)), ISNUMBER(MAX(X$2:X$486))), IF(MAX(X$2:X$486)=MIN(X$2:X$486), 50, ROUND((MAX(X$2:X$486)-X90)/(MAX(X$2:X$486)-MIN(X$2:X$486))*100, 2)), "")</f>
        <v/>
      </c>
      <c r="AB90">
        <f>IF(AND(ISNUMBER(U90), ISNUMBER(MIN(U$2:U$486)), ISNUMBER(MAX(U$2:U$486))), IF(MAX(U$2:U$486)=MIN(U$2:U$486), 50, ROUND((U90-MIN(U$2:U$486))/(MAX(U$2:U$486)-MIN(U$2:U$486))*100, 2)), "")</f>
        <v/>
      </c>
      <c r="AC90">
        <f>IF(AND(ISNUMBER(Z90), ISNUMBER(AA90), ISNUMBER(AB90)), ROUND((Z90+AA90+AB90)/3, 2), "")</f>
        <v/>
      </c>
    </row>
    <row r="91">
      <c r="A91" t="n">
        <v>87312453</v>
      </c>
      <c r="B91" t="n">
        <v>1600</v>
      </c>
      <c r="C91" t="inlineStr">
        <is>
          <t>£1,600 pcm</t>
        </is>
      </c>
      <c r="D91" t="inlineStr">
        <is>
          <t>monthly</t>
        </is>
      </c>
      <c r="E91" t="inlineStr">
        <is>
          <t>Flat</t>
        </is>
      </c>
      <c r="F91" t="n">
        <v>2</v>
      </c>
      <c r="G91" t="n">
        <v>1</v>
      </c>
      <c r="H91" t="inlineStr">
        <is>
          <t>Forest Road, Walthamstow E17</t>
        </is>
      </c>
      <c r="I91" t="inlineStr">
        <is>
          <t>** Zero Deposit Guarantee Available **
Well presented two bedroom first floor flat above commercial premises with communal rear garden. Available now on a part-furnished or unfurnished basis.</t>
        </is>
      </c>
      <c r="J91" t="inlineStr">
        <is>
          <t>https://www.rightmove.co.uk/properties/87312453#/?channel=RES_LET</t>
        </is>
      </c>
      <c r="K91" t="inlineStr">
        <is>
          <t>/property-to-rent/contactBranch.html?propertyId=87312453</t>
        </is>
      </c>
      <c r="L91" t="inlineStr">
        <is>
          <t>Bairstow Eves Lettings, Walthamstow</t>
        </is>
      </c>
      <c r="M91" t="n">
        <v>30467</v>
      </c>
      <c r="N91" t="inlineStr">
        <is>
          <t>Added on 14/10/2025</t>
        </is>
      </c>
      <c r="O91" t="inlineStr">
        <is>
          <t>2025-10-14T15:06:49Z</t>
        </is>
      </c>
      <c r="Q91" t="inlineStr">
        <is>
          <t>E17</t>
        </is>
      </c>
      <c r="R91" t="inlineStr">
        <is>
          <t>2025-10-16T17:42:15.783173</t>
        </is>
      </c>
      <c r="S91" t="inlineStr">
        <is>
          <t>{'let available date': 'Now', 'deposit': '£1,846', 'min. tenancy': 'Ask agent', 'let type': 'Long term', 'furnish type': 'Part furnished', 'council tax': 'Ask agent'}</t>
        </is>
      </c>
      <c r="V91" t="b">
        <v>1</v>
      </c>
      <c r="X91" t="n">
        <v>14.24</v>
      </c>
      <c r="Y91" t="n">
        <v>55.8</v>
      </c>
      <c r="Z91">
        <f>IF(AND(ISNUMBER(B91), ISNUMBER(MIN(B$2:B$486)), ISNUMBER(MAX(B$2:B$486))), IF(MAX(B$2:B$486)=MIN(B$2:B$486), 50, ROUND((MAX(B$2:B$486)-B91)/(MAX(B$2:B$486)-MIN(B$2:B$486))*100, 2)), "")</f>
        <v/>
      </c>
      <c r="AA91">
        <f>IF(AND(ISNUMBER(X91), ISNUMBER(MIN(X$2:X$486)), ISNUMBER(MAX(X$2:X$486))), IF(MAX(X$2:X$486)=MIN(X$2:X$486), 50, ROUND((MAX(X$2:X$486)-X91)/(MAX(X$2:X$486)-MIN(X$2:X$486))*100, 2)), "")</f>
        <v/>
      </c>
      <c r="AB91">
        <f>IF(AND(ISNUMBER(U91), ISNUMBER(MIN(U$2:U$486)), ISNUMBER(MAX(U$2:U$486))), IF(MAX(U$2:U$486)=MIN(U$2:U$486), 50, ROUND((U91-MIN(U$2:U$486))/(MAX(U$2:U$486)-MIN(U$2:U$486))*100, 2)), "")</f>
        <v/>
      </c>
      <c r="AC91">
        <f>IF(AND(ISNUMBER(Z91), ISNUMBER(AA91), ISNUMBER(AB91)), ROUND((Z91+AA91+AB91)/3, 2), "")</f>
        <v/>
      </c>
    </row>
    <row r="92">
      <c r="A92" t="n">
        <v>166927637</v>
      </c>
      <c r="B92" t="n">
        <v>1750</v>
      </c>
      <c r="C92" t="inlineStr">
        <is>
          <t>£1,750 pcm</t>
        </is>
      </c>
      <c r="D92" t="inlineStr">
        <is>
          <t>monthly</t>
        </is>
      </c>
      <c r="E92" t="inlineStr">
        <is>
          <t>Apartment</t>
        </is>
      </c>
      <c r="F92" t="n">
        <v>2</v>
      </c>
      <c r="G92" t="n">
        <v>1</v>
      </c>
      <c r="H92" t="inlineStr">
        <is>
          <t>Clarence Lane, LONDON</t>
        </is>
      </c>
      <c r="I92" t="inlineStr">
        <is>
          <t>Fantastic Split Level Two Double Bedroom Apartment with Excellent Transport Links Nearby! **NO DEPOSIT OPTION AVAILABLE**</t>
        </is>
      </c>
      <c r="J92" t="inlineStr">
        <is>
          <t>https://www.rightmove.co.uk/properties/166927637#/?channel=RES_LET</t>
        </is>
      </c>
      <c r="K92" t="inlineStr">
        <is>
          <t>/property-to-rent/contactBranch.html?propertyId=166927637</t>
        </is>
      </c>
      <c r="L92" t="inlineStr">
        <is>
          <t>Felicity J Lord, Blackheath Village Lettings</t>
        </is>
      </c>
      <c r="M92" t="n">
        <v>11466</v>
      </c>
      <c r="N92" t="inlineStr">
        <is>
          <t>Reduced on 14/10/2025</t>
        </is>
      </c>
      <c r="O92" t="inlineStr">
        <is>
          <t>2025-09-12T13:35:41Z</t>
        </is>
      </c>
      <c r="R92" t="inlineStr">
        <is>
          <t>2025-10-16T17:42:15.783175</t>
        </is>
      </c>
      <c r="S92" t="inlineStr">
        <is>
          <t>{'let available date': '28/10/2025', 'deposit': '£2,019', 'min. tenancy': 'Ask agent', 'let type': 'Long term', 'furnish type': 'Ask agent', 'council tax': 'Ask agent'}</t>
        </is>
      </c>
      <c r="V92" t="b">
        <v>1</v>
      </c>
      <c r="X92" t="n">
        <v>12.66</v>
      </c>
      <c r="Y92" t="n">
        <v>45.3</v>
      </c>
      <c r="Z92">
        <f>IF(AND(ISNUMBER(B92), ISNUMBER(MIN(B$2:B$486)), ISNUMBER(MAX(B$2:B$486))), IF(MAX(B$2:B$486)=MIN(B$2:B$486), 50, ROUND((MAX(B$2:B$486)-B92)/(MAX(B$2:B$486)-MIN(B$2:B$486))*100, 2)), "")</f>
        <v/>
      </c>
      <c r="AA92">
        <f>IF(AND(ISNUMBER(X92), ISNUMBER(MIN(X$2:X$486)), ISNUMBER(MAX(X$2:X$486))), IF(MAX(X$2:X$486)=MIN(X$2:X$486), 50, ROUND((MAX(X$2:X$486)-X92)/(MAX(X$2:X$486)-MIN(X$2:X$486))*100, 2)), "")</f>
        <v/>
      </c>
      <c r="AB92">
        <f>IF(AND(ISNUMBER(U92), ISNUMBER(MIN(U$2:U$486)), ISNUMBER(MAX(U$2:U$486))), IF(MAX(U$2:U$486)=MIN(U$2:U$486), 50, ROUND((U92-MIN(U$2:U$486))/(MAX(U$2:U$486)-MIN(U$2:U$486))*100, 2)), "")</f>
        <v/>
      </c>
      <c r="AC92">
        <f>IF(AND(ISNUMBER(Z92), ISNUMBER(AA92), ISNUMBER(AB92)), ROUND((Z92+AA92+AB92)/3, 2), "")</f>
        <v/>
      </c>
    </row>
    <row r="93">
      <c r="A93" t="n">
        <v>87310683</v>
      </c>
      <c r="B93" t="n">
        <v>1590</v>
      </c>
      <c r="C93" t="inlineStr">
        <is>
          <t>£1,590 pcm</t>
        </is>
      </c>
      <c r="D93" t="inlineStr">
        <is>
          <t>monthly</t>
        </is>
      </c>
      <c r="E93" t="inlineStr">
        <is>
          <t>Apartment</t>
        </is>
      </c>
      <c r="F93" t="n">
        <v>2</v>
      </c>
      <c r="H93" t="inlineStr">
        <is>
          <t>Fairlop Road, London, E11</t>
        </is>
      </c>
      <c r="I93" t="inlineStr">
        <is>
          <t>Set within a stunning period house, this spacious raised ground floor flat offers generous living space and two well proportioned double bedrooms. Perfectly positioned just a 5 minute walk from Leytonstone Tube Station (Central Line), it provides quick and easy access to central London.</t>
        </is>
      </c>
      <c r="J93" t="inlineStr">
        <is>
          <t>https://www.rightmove.co.uk/properties/87310683#/?channel=RES_LET</t>
        </is>
      </c>
      <c r="K93" t="inlineStr">
        <is>
          <t>/property-to-rent/contactBranch.html?propertyId=87310683</t>
        </is>
      </c>
      <c r="L93" t="inlineStr">
        <is>
          <t>City and Town Estates, London</t>
        </is>
      </c>
      <c r="M93" t="n">
        <v>80802</v>
      </c>
      <c r="N93" t="inlineStr">
        <is>
          <t>Added on 14/10/2025</t>
        </is>
      </c>
      <c r="O93" t="inlineStr">
        <is>
          <t>2025-10-14T14:48:24Z</t>
        </is>
      </c>
      <c r="Q93" t="inlineStr">
        <is>
          <t>E11</t>
        </is>
      </c>
      <c r="R93" t="inlineStr">
        <is>
          <t>2025-10-16T17:42:15.783177</t>
        </is>
      </c>
      <c r="S93" t="inlineStr">
        <is>
          <t>{'let available date': '17/10/2025', 'deposit': '£1,830', 'min. tenancy': '12 months', 'let type': 'Long term', 'furnish type': 'Unfurnished', 'council tax': 'Ask agent'}</t>
        </is>
      </c>
      <c r="V93" t="b">
        <v>1</v>
      </c>
      <c r="X93" t="n">
        <v>13.87</v>
      </c>
      <c r="Y93" t="n">
        <v>45.6</v>
      </c>
      <c r="Z93">
        <f>IF(AND(ISNUMBER(B93), ISNUMBER(MIN(B$2:B$486)), ISNUMBER(MAX(B$2:B$486))), IF(MAX(B$2:B$486)=MIN(B$2:B$486), 50, ROUND((MAX(B$2:B$486)-B93)/(MAX(B$2:B$486)-MIN(B$2:B$486))*100, 2)), "")</f>
        <v/>
      </c>
      <c r="AA93">
        <f>IF(AND(ISNUMBER(X93), ISNUMBER(MIN(X$2:X$486)), ISNUMBER(MAX(X$2:X$486))), IF(MAX(X$2:X$486)=MIN(X$2:X$486), 50, ROUND((MAX(X$2:X$486)-X93)/(MAX(X$2:X$486)-MIN(X$2:X$486))*100, 2)), "")</f>
        <v/>
      </c>
      <c r="AB93">
        <f>IF(AND(ISNUMBER(U93), ISNUMBER(MIN(U$2:U$486)), ISNUMBER(MAX(U$2:U$486))), IF(MAX(U$2:U$486)=MIN(U$2:U$486), 50, ROUND((U93-MIN(U$2:U$486))/(MAX(U$2:U$486)-MIN(U$2:U$486))*100, 2)), "")</f>
        <v/>
      </c>
      <c r="AC93">
        <f>IF(AND(ISNUMBER(Z93), ISNUMBER(AA93), ISNUMBER(AB93)), ROUND((Z93+AA93+AB93)/3, 2), "")</f>
        <v/>
      </c>
    </row>
    <row r="94">
      <c r="A94" t="n">
        <v>167875061</v>
      </c>
      <c r="B94" t="n">
        <v>1550</v>
      </c>
      <c r="C94" t="inlineStr">
        <is>
          <t>£1,550 pcm</t>
        </is>
      </c>
      <c r="D94" t="inlineStr">
        <is>
          <t>monthly</t>
        </is>
      </c>
      <c r="E94" t="inlineStr">
        <is>
          <t>Apartment</t>
        </is>
      </c>
      <c r="F94" t="n">
        <v>2</v>
      </c>
      <c r="G94" t="n">
        <v>1</v>
      </c>
      <c r="H94" t="inlineStr">
        <is>
          <t>Hatfield Close, Sutton, SM2</t>
        </is>
      </c>
      <c r="I94" t="inlineStr">
        <is>
          <t>Unfurnished two double bedroom apartment within 1 mile to Sutton rail station and 04.miles to Belmont station.</t>
        </is>
      </c>
      <c r="J94" t="inlineStr">
        <is>
          <t>https://www.rightmove.co.uk/properties/167875061#/?channel=RES_LET</t>
        </is>
      </c>
      <c r="K94" t="inlineStr">
        <is>
          <t>/property-to-rent/contactBranch.html?propertyId=167875061</t>
        </is>
      </c>
      <c r="L94" t="inlineStr">
        <is>
          <t>Andrews Letting and Management, Wallington</t>
        </is>
      </c>
      <c r="M94" t="n">
        <v>34373</v>
      </c>
      <c r="N94" t="inlineStr">
        <is>
          <t>Reduced on 14/10/2025</t>
        </is>
      </c>
      <c r="O94" t="inlineStr">
        <is>
          <t>2025-10-06T18:04:42Z</t>
        </is>
      </c>
      <c r="Q94" t="inlineStr">
        <is>
          <t>SM2</t>
        </is>
      </c>
      <c r="R94" t="inlineStr">
        <is>
          <t>2025-10-16T17:42:15.783181</t>
        </is>
      </c>
      <c r="S94" t="inlineStr">
        <is>
          <t>{'let available date': 'Now', 'deposit': '£1,788', 'min. tenancy': 'Ask agent', 'let type': 'Long term', 'furnish type': 'Unfurnished', 'council tax': 'Ask agent'}</t>
        </is>
      </c>
      <c r="V94" t="b">
        <v>1</v>
      </c>
      <c r="X94" t="n">
        <v>24.26</v>
      </c>
      <c r="Y94" t="n">
        <v>66.3</v>
      </c>
      <c r="Z94">
        <f>IF(AND(ISNUMBER(B94), ISNUMBER(MIN(B$2:B$486)), ISNUMBER(MAX(B$2:B$486))), IF(MAX(B$2:B$486)=MIN(B$2:B$486), 50, ROUND((MAX(B$2:B$486)-B94)/(MAX(B$2:B$486)-MIN(B$2:B$486))*100, 2)), "")</f>
        <v/>
      </c>
      <c r="AA94">
        <f>IF(AND(ISNUMBER(X94), ISNUMBER(MIN(X$2:X$486)), ISNUMBER(MAX(X$2:X$486))), IF(MAX(X$2:X$486)=MIN(X$2:X$486), 50, ROUND((MAX(X$2:X$486)-X94)/(MAX(X$2:X$486)-MIN(X$2:X$486))*100, 2)), "")</f>
        <v/>
      </c>
      <c r="AB94">
        <f>IF(AND(ISNUMBER(U94), ISNUMBER(MIN(U$2:U$486)), ISNUMBER(MAX(U$2:U$486))), IF(MAX(U$2:U$486)=MIN(U$2:U$486), 50, ROUND((U94-MIN(U$2:U$486))/(MAX(U$2:U$486)-MIN(U$2:U$486))*100, 2)), "")</f>
        <v/>
      </c>
      <c r="AC94">
        <f>IF(AND(ISNUMBER(Z94), ISNUMBER(AA94), ISNUMBER(AB94)), ROUND((Z94+AA94+AB94)/3, 2), "")</f>
        <v/>
      </c>
    </row>
    <row r="95">
      <c r="A95" t="n">
        <v>87310077</v>
      </c>
      <c r="B95" t="n">
        <v>1700</v>
      </c>
      <c r="C95" t="inlineStr">
        <is>
          <t>£1,700 pcm</t>
        </is>
      </c>
      <c r="D95" t="inlineStr">
        <is>
          <t>monthly</t>
        </is>
      </c>
      <c r="E95" t="inlineStr">
        <is>
          <t>Apartment</t>
        </is>
      </c>
      <c r="F95" t="n">
        <v>2</v>
      </c>
      <c r="G95" t="n">
        <v>2</v>
      </c>
      <c r="H95" t="inlineStr">
        <is>
          <t>Northumberland House, Wellesley road, Sutton, Sutton, Flat</t>
        </is>
      </c>
      <c r="I95" t="inlineStr">
        <is>
          <t>New to the market bright and spacious 2 bed 2 bath property Located in the heart of Sutton, a short walk from Sutton train station.</t>
        </is>
      </c>
      <c r="J95" t="inlineStr">
        <is>
          <t>https://www.rightmove.co.uk/properties/87310077#/?channel=RES_LET</t>
        </is>
      </c>
      <c r="K95" t="inlineStr">
        <is>
          <t>/property-to-rent/contactBranch.html?propertyId=87310077</t>
        </is>
      </c>
      <c r="L95" t="inlineStr">
        <is>
          <t>DSTRKT, DSTRKT</t>
        </is>
      </c>
      <c r="M95" t="n">
        <v>238433</v>
      </c>
      <c r="N95" t="inlineStr">
        <is>
          <t>Added on 14/10/2025</t>
        </is>
      </c>
      <c r="O95" t="inlineStr">
        <is>
          <t>2025-10-14T14:35:03Z</t>
        </is>
      </c>
      <c r="R95" t="inlineStr">
        <is>
          <t>2025-10-16T17:42:15.783183</t>
        </is>
      </c>
      <c r="S95" t="inlineStr">
        <is>
          <t>{'let available date': '10/11/2025', 'deposit': '£1,961', 'min. tenancy': 'Ask agent', 'let type': 'Long term', 'furnish type': 'Unfurnished', 'council tax': 'Ask agent'}</t>
        </is>
      </c>
      <c r="V95" t="b">
        <v>1</v>
      </c>
      <c r="X95" t="n">
        <v>22.62</v>
      </c>
      <c r="Y95" t="n">
        <v>65.5</v>
      </c>
      <c r="Z95">
        <f>IF(AND(ISNUMBER(B95), ISNUMBER(MIN(B$2:B$486)), ISNUMBER(MAX(B$2:B$486))), IF(MAX(B$2:B$486)=MIN(B$2:B$486), 50, ROUND((MAX(B$2:B$486)-B95)/(MAX(B$2:B$486)-MIN(B$2:B$486))*100, 2)), "")</f>
        <v/>
      </c>
      <c r="AA95">
        <f>IF(AND(ISNUMBER(X95), ISNUMBER(MIN(X$2:X$486)), ISNUMBER(MAX(X$2:X$486))), IF(MAX(X$2:X$486)=MIN(X$2:X$486), 50, ROUND((MAX(X$2:X$486)-X95)/(MAX(X$2:X$486)-MIN(X$2:X$486))*100, 2)), "")</f>
        <v/>
      </c>
      <c r="AB95">
        <f>IF(AND(ISNUMBER(U95), ISNUMBER(MIN(U$2:U$486)), ISNUMBER(MAX(U$2:U$486))), IF(MAX(U$2:U$486)=MIN(U$2:U$486), 50, ROUND((U95-MIN(U$2:U$486))/(MAX(U$2:U$486)-MIN(U$2:U$486))*100, 2)), "")</f>
        <v/>
      </c>
      <c r="AC95">
        <f>IF(AND(ISNUMBER(Z95), ISNUMBER(AA95), ISNUMBER(AB95)), ROUND((Z95+AA95+AB95)/3, 2), "")</f>
        <v/>
      </c>
    </row>
    <row r="96">
      <c r="A96" t="n">
        <v>87308286</v>
      </c>
      <c r="B96" t="n">
        <v>1695</v>
      </c>
      <c r="C96" t="inlineStr">
        <is>
          <t>£1,695 pcm</t>
        </is>
      </c>
      <c r="D96" t="inlineStr">
        <is>
          <t>monthly</t>
        </is>
      </c>
      <c r="E96" t="inlineStr">
        <is>
          <t>Flat</t>
        </is>
      </c>
      <c r="F96" t="n">
        <v>2</v>
      </c>
      <c r="G96" t="n">
        <v>1</v>
      </c>
      <c r="H96" t="inlineStr">
        <is>
          <t>Campion Road, London</t>
        </is>
      </c>
      <c r="I96" t="inlineStr">
        <is>
          <t>This home boasts excellent living space, from the entrance hallway you are greeted with a modern fitted kitchen which is semi open plan to a generously proportioned living area, large double bedroom, ample single bedroom or possible home office and a larger than commonly found bathroom. ...</t>
        </is>
      </c>
      <c r="J96" t="inlineStr">
        <is>
          <t>https://www.rightmove.co.uk/properties/87308286#/?channel=RES_LET</t>
        </is>
      </c>
      <c r="K96" t="inlineStr">
        <is>
          <t>/property-to-rent/contactBranch.html?propertyId=87308286</t>
        </is>
      </c>
      <c r="L96" t="inlineStr">
        <is>
          <t>Kings Group, Bethnal Green</t>
        </is>
      </c>
      <c r="M96" t="n">
        <v>162170</v>
      </c>
      <c r="N96" t="inlineStr">
        <is>
          <t>Added on 14/10/2025</t>
        </is>
      </c>
      <c r="O96" t="inlineStr">
        <is>
          <t>2025-10-14T14:12:10Z</t>
        </is>
      </c>
      <c r="R96" t="inlineStr">
        <is>
          <t>2025-10-16T17:42:15.783193</t>
        </is>
      </c>
      <c r="S96" t="inlineStr">
        <is>
          <t>{'let available date': '17/01/2026', 'deposit': 'Ask agent', 'min. tenancy': 'Ask agent', 'let type': 'Long term', 'furnish type': 'Unfurnished', 'council tax': 'Ask agent'}</t>
        </is>
      </c>
      <c r="T96" t="n">
        <v>636</v>
      </c>
      <c r="U96" t="n">
        <v>59</v>
      </c>
      <c r="V96" t="b">
        <v>1</v>
      </c>
      <c r="X96" t="n">
        <v>10.41</v>
      </c>
      <c r="Y96" t="n">
        <v>44</v>
      </c>
      <c r="Z96">
        <f>IF(AND(ISNUMBER(B96), ISNUMBER(MIN(B$2:B$486)), ISNUMBER(MAX(B$2:B$486))), IF(MAX(B$2:B$486)=MIN(B$2:B$486), 50, ROUND((MAX(B$2:B$486)-B96)/(MAX(B$2:B$486)-MIN(B$2:B$486))*100, 2)), "")</f>
        <v/>
      </c>
      <c r="AA96">
        <f>IF(AND(ISNUMBER(X96), ISNUMBER(MIN(X$2:X$486)), ISNUMBER(MAX(X$2:X$486))), IF(MAX(X$2:X$486)=MIN(X$2:X$486), 50, ROUND((MAX(X$2:X$486)-X96)/(MAX(X$2:X$486)-MIN(X$2:X$486))*100, 2)), "")</f>
        <v/>
      </c>
      <c r="AB96">
        <f>IF(AND(ISNUMBER(U96), ISNUMBER(MIN(U$2:U$486)), ISNUMBER(MAX(U$2:U$486))), IF(MAX(U$2:U$486)=MIN(U$2:U$486), 50, ROUND((U96-MIN(U$2:U$486))/(MAX(U$2:U$486)-MIN(U$2:U$486))*100, 2)), "")</f>
        <v/>
      </c>
      <c r="AC96">
        <f>IF(AND(ISNUMBER(Z96), ISNUMBER(AA96), ISNUMBER(AB96)), ROUND((Z96+AA96+AB96)/3, 2), "")</f>
        <v/>
      </c>
    </row>
    <row r="97">
      <c r="A97" t="n">
        <v>87307671</v>
      </c>
      <c r="B97" t="n">
        <v>357</v>
      </c>
      <c r="C97" t="inlineStr">
        <is>
          <t>£1,547 pcm</t>
        </is>
      </c>
      <c r="D97" t="inlineStr">
        <is>
          <t>weekly</t>
        </is>
      </c>
      <c r="E97" t="inlineStr">
        <is>
          <t>Flat</t>
        </is>
      </c>
      <c r="F97" t="n">
        <v>2</v>
      </c>
      <c r="G97" t="n">
        <v>1</v>
      </c>
      <c r="H97" t="inlineStr">
        <is>
          <t>Ham Street, Ham, Richmond, Surrey, TW10</t>
        </is>
      </c>
      <c r="I97" t="inlineStr">
        <is>
          <t>Willmotts are pleased to present this beautifully proportioned two-bedroom maisonette located in the desirable Ham area, offering a blend of comfort, style, and convenience. Perfectly situated in a peaceful residential neighbourhood, this property boasts excellent connections to local amenities, ...</t>
        </is>
      </c>
      <c r="J97" t="inlineStr">
        <is>
          <t>https://www.rightmove.co.uk/properties/87307671#/?channel=RES_LET</t>
        </is>
      </c>
      <c r="K97" t="inlineStr">
        <is>
          <t>/property-to-rent/contactBranch.html?propertyId=87307671</t>
        </is>
      </c>
      <c r="L97" t="inlineStr">
        <is>
          <t>Willmotts, London</t>
        </is>
      </c>
      <c r="M97" t="n">
        <v>99575</v>
      </c>
      <c r="N97" t="inlineStr">
        <is>
          <t>Added on 14/10/2025</t>
        </is>
      </c>
      <c r="O97" t="inlineStr">
        <is>
          <t>2025-10-14T14:05:12Z</t>
        </is>
      </c>
      <c r="Q97" t="inlineStr">
        <is>
          <t>TW10</t>
        </is>
      </c>
      <c r="R97" t="inlineStr">
        <is>
          <t>2025-10-16T17:42:15.783204</t>
        </is>
      </c>
      <c r="S97" t="inlineStr">
        <is>
          <t>{'let available date': '08/12/2025', 'deposit': 'Ask agent', 'min. tenancy': 'Ask agent', 'let type': 'Long term', 'furnish type': 'Unfurnished', 'council tax': 'Ask agent'}</t>
        </is>
      </c>
      <c r="V97" t="b">
        <v>1</v>
      </c>
      <c r="X97" t="n">
        <v>16.1</v>
      </c>
      <c r="Y97" t="n">
        <v>53.1</v>
      </c>
      <c r="Z97">
        <f>IF(AND(ISNUMBER(B97), ISNUMBER(MIN(B$2:B$486)), ISNUMBER(MAX(B$2:B$486))), IF(MAX(B$2:B$486)=MIN(B$2:B$486), 50, ROUND((MAX(B$2:B$486)-B97)/(MAX(B$2:B$486)-MIN(B$2:B$486))*100, 2)), "")</f>
        <v/>
      </c>
      <c r="AA97">
        <f>IF(AND(ISNUMBER(X97), ISNUMBER(MIN(X$2:X$486)), ISNUMBER(MAX(X$2:X$486))), IF(MAX(X$2:X$486)=MIN(X$2:X$486), 50, ROUND((MAX(X$2:X$486)-X97)/(MAX(X$2:X$486)-MIN(X$2:X$486))*100, 2)), "")</f>
        <v/>
      </c>
      <c r="AB97">
        <f>IF(AND(ISNUMBER(U97), ISNUMBER(MIN(U$2:U$486)), ISNUMBER(MAX(U$2:U$486))), IF(MAX(U$2:U$486)=MIN(U$2:U$486), 50, ROUND((U97-MIN(U$2:U$486))/(MAX(U$2:U$486)-MIN(U$2:U$486))*100, 2)), "")</f>
        <v/>
      </c>
      <c r="AC97">
        <f>IF(AND(ISNUMBER(Z97), ISNUMBER(AA97), ISNUMBER(AB97)), ROUND((Z97+AA97+AB97)/3, 2), "")</f>
        <v/>
      </c>
    </row>
    <row r="98">
      <c r="A98" t="n">
        <v>168187451</v>
      </c>
      <c r="B98" t="n">
        <v>1600</v>
      </c>
      <c r="C98" t="inlineStr">
        <is>
          <t>£1,600 pcm</t>
        </is>
      </c>
      <c r="D98" t="inlineStr">
        <is>
          <t>monthly</t>
        </is>
      </c>
      <c r="E98" t="inlineStr">
        <is>
          <t>Flat</t>
        </is>
      </c>
      <c r="F98" t="n">
        <v>2</v>
      </c>
      <c r="G98" t="n">
        <v>1</v>
      </c>
      <c r="H98" t="inlineStr">
        <is>
          <t>Ashley Road, London, Chingford, E4</t>
        </is>
      </c>
      <c r="I98" t="inlineStr">
        <is>
          <t>A bright and well kept two bedroom flat located on Ashley Road, Chingford. The property features a spacious lounge, modern kitchen, two bedrooms, a three piece bathroom and PRIVATE garden. Ashley Road is a quiet residential street located just of Chingford Mount Road and is well ...</t>
        </is>
      </c>
      <c r="J98" t="inlineStr">
        <is>
          <t>https://www.rightmove.co.uk/properties/168187451#/?channel=RES_LET</t>
        </is>
      </c>
      <c r="K98" t="inlineStr">
        <is>
          <t>/property-to-rent/contactBranch.html?propertyId=168187451</t>
        </is>
      </c>
      <c r="L98" t="inlineStr">
        <is>
          <t>Central Estate Agents, Walthamstow</t>
        </is>
      </c>
      <c r="M98" t="n">
        <v>6323</v>
      </c>
      <c r="N98" t="inlineStr">
        <is>
          <t>Added on 14/10/2025</t>
        </is>
      </c>
      <c r="O98" t="inlineStr">
        <is>
          <t>2025-10-15T10:16:42Z</t>
        </is>
      </c>
      <c r="Q98" t="inlineStr">
        <is>
          <t>E4</t>
        </is>
      </c>
      <c r="R98" t="inlineStr">
        <is>
          <t>2025-10-16T17:42:15.783208</t>
        </is>
      </c>
      <c r="S98" t="inlineStr">
        <is>
          <t>{'let available date': '31/10/2025', 'deposit': '£1,600', 'min. tenancy': 'Ask agent', 'let type': 'Long term', 'furnish type': 'Unfurnished', 'council tax': 'Ask agent'}</t>
        </is>
      </c>
      <c r="V98" t="b">
        <v>1</v>
      </c>
      <c r="X98" t="n">
        <v>19.48</v>
      </c>
      <c r="Y98" t="n">
        <v>57.2</v>
      </c>
      <c r="Z98">
        <f>IF(AND(ISNUMBER(B98), ISNUMBER(MIN(B$2:B$486)), ISNUMBER(MAX(B$2:B$486))), IF(MAX(B$2:B$486)=MIN(B$2:B$486), 50, ROUND((MAX(B$2:B$486)-B98)/(MAX(B$2:B$486)-MIN(B$2:B$486))*100, 2)), "")</f>
        <v/>
      </c>
      <c r="AA98">
        <f>IF(AND(ISNUMBER(X98), ISNUMBER(MIN(X$2:X$486)), ISNUMBER(MAX(X$2:X$486))), IF(MAX(X$2:X$486)=MIN(X$2:X$486), 50, ROUND((MAX(X$2:X$486)-X98)/(MAX(X$2:X$486)-MIN(X$2:X$486))*100, 2)), "")</f>
        <v/>
      </c>
      <c r="AB98">
        <f>IF(AND(ISNUMBER(U98), ISNUMBER(MIN(U$2:U$486)), ISNUMBER(MAX(U$2:U$486))), IF(MAX(U$2:U$486)=MIN(U$2:U$486), 50, ROUND((U98-MIN(U$2:U$486))/(MAX(U$2:U$486)-MIN(U$2:U$486))*100, 2)), "")</f>
        <v/>
      </c>
      <c r="AC98">
        <f>IF(AND(ISNUMBER(Z98), ISNUMBER(AA98), ISNUMBER(AB98)), ROUND((Z98+AA98+AB98)/3, 2), "")</f>
        <v/>
      </c>
    </row>
    <row r="99">
      <c r="A99" t="n">
        <v>168082535</v>
      </c>
      <c r="B99" t="n">
        <v>1650</v>
      </c>
      <c r="C99" t="inlineStr">
        <is>
          <t>£1,650 pcm</t>
        </is>
      </c>
      <c r="D99" t="inlineStr">
        <is>
          <t>monthly</t>
        </is>
      </c>
      <c r="E99" t="inlineStr">
        <is>
          <t>Flat</t>
        </is>
      </c>
      <c r="F99" t="n">
        <v>2</v>
      </c>
      <c r="G99" t="n">
        <v>1</v>
      </c>
      <c r="H99" t="inlineStr">
        <is>
          <t>North Hill, London, N6</t>
        </is>
      </c>
      <c r="I99" t="inlineStr">
        <is>
          <t>We are pleased to offer this compact two-bedroom, one-bathroom flat on the first floor within this 1863 Victorian building, named Verandah Cottages.The property features a compact kitchen which op... ** Property Reference: 2644186 **</t>
        </is>
      </c>
      <c r="J99" t="inlineStr">
        <is>
          <t>https://www.rightmove.co.uk/properties/168082535#/?channel=RES_LET</t>
        </is>
      </c>
      <c r="K99" t="inlineStr">
        <is>
          <t>/property-to-rent/contactBranch.html?propertyId=168082535</t>
        </is>
      </c>
      <c r="L99" t="inlineStr">
        <is>
          <t>OpenRent, London</t>
        </is>
      </c>
      <c r="M99" t="n">
        <v>96668</v>
      </c>
      <c r="N99" t="inlineStr">
        <is>
          <t>Reduced on 14/10/2025</t>
        </is>
      </c>
      <c r="O99" t="inlineStr">
        <is>
          <t>2025-10-10T13:43:15Z</t>
        </is>
      </c>
      <c r="Q99" t="inlineStr">
        <is>
          <t>N6</t>
        </is>
      </c>
      <c r="R99" t="inlineStr">
        <is>
          <t>2025-10-16T17:42:15.783211</t>
        </is>
      </c>
      <c r="S99" t="inlineStr">
        <is>
          <t>{'let available date': 'Now', 'deposit': '£1,650', 'min. tenancy': 'Ask agent', 'let type': 'Long term', 'furnish type': 'Unfurnished', 'council tax': 'Ask agent'}</t>
        </is>
      </c>
      <c r="V99" t="b">
        <v>1</v>
      </c>
      <c r="X99" t="n">
        <v>8.470000000000001</v>
      </c>
      <c r="Y99" t="n">
        <v>34.6</v>
      </c>
      <c r="Z99">
        <f>IF(AND(ISNUMBER(B99), ISNUMBER(MIN(B$2:B$486)), ISNUMBER(MAX(B$2:B$486))), IF(MAX(B$2:B$486)=MIN(B$2:B$486), 50, ROUND((MAX(B$2:B$486)-B99)/(MAX(B$2:B$486)-MIN(B$2:B$486))*100, 2)), "")</f>
        <v/>
      </c>
      <c r="AA99">
        <f>IF(AND(ISNUMBER(X99), ISNUMBER(MIN(X$2:X$486)), ISNUMBER(MAX(X$2:X$486))), IF(MAX(X$2:X$486)=MIN(X$2:X$486), 50, ROUND((MAX(X$2:X$486)-X99)/(MAX(X$2:X$486)-MIN(X$2:X$486))*100, 2)), "")</f>
        <v/>
      </c>
      <c r="AB99">
        <f>IF(AND(ISNUMBER(U99), ISNUMBER(MIN(U$2:U$486)), ISNUMBER(MAX(U$2:U$486))), IF(MAX(U$2:U$486)=MIN(U$2:U$486), 50, ROUND((U99-MIN(U$2:U$486))/(MAX(U$2:U$486)-MIN(U$2:U$486))*100, 2)), "")</f>
        <v/>
      </c>
      <c r="AC99">
        <f>IF(AND(ISNUMBER(Z99), ISNUMBER(AA99), ISNUMBER(AB99)), ROUND((Z99+AA99+AB99)/3, 2), "")</f>
        <v/>
      </c>
    </row>
    <row r="100">
      <c r="A100" t="n">
        <v>166222937</v>
      </c>
      <c r="B100" t="n">
        <v>1750</v>
      </c>
      <c r="C100" t="inlineStr">
        <is>
          <t>£1,750 pcm</t>
        </is>
      </c>
      <c r="D100" t="inlineStr">
        <is>
          <t>monthly</t>
        </is>
      </c>
      <c r="E100" t="inlineStr">
        <is>
          <t>Flat</t>
        </is>
      </c>
      <c r="F100" t="n">
        <v>2</v>
      </c>
      <c r="G100" t="n">
        <v>1</v>
      </c>
      <c r="H100" t="inlineStr">
        <is>
          <t>Victoria Way, Charlton, SE7</t>
        </is>
      </c>
      <c r="I100" t="inlineStr">
        <is>
          <t>This spacious FLAT is situated on the GROUND FLOOR of a purpose built block in Charlton, SE7. The property comprises TWO double bedrooms, a fully-tiled bathroom with over-tub shower and an OPEN-PL... ** Property Reference: 2601414 **</t>
        </is>
      </c>
      <c r="J100" t="inlineStr">
        <is>
          <t>https://www.rightmove.co.uk/properties/166222937#/?channel=RES_LET</t>
        </is>
      </c>
      <c r="K100" t="inlineStr">
        <is>
          <t>/property-to-rent/contactBranch.html?propertyId=166222937</t>
        </is>
      </c>
      <c r="L100" t="inlineStr">
        <is>
          <t>OpenRent, London</t>
        </is>
      </c>
      <c r="M100" t="n">
        <v>96668</v>
      </c>
      <c r="N100" t="inlineStr">
        <is>
          <t>Reduced on 14/10/2025</t>
        </is>
      </c>
      <c r="O100" t="inlineStr">
        <is>
          <t>2025-08-26T14:31:41Z</t>
        </is>
      </c>
      <c r="Q100" t="inlineStr">
        <is>
          <t>SE7</t>
        </is>
      </c>
      <c r="R100" t="inlineStr">
        <is>
          <t>2025-10-16T17:42:15.783214</t>
        </is>
      </c>
      <c r="S100" t="inlineStr">
        <is>
          <t>{'let available date': '20/10/2025', 'deposit': '£2,019', 'min. tenancy': 'Ask agent', 'let type': 'Long term', 'furnish type': 'Unfurnished', 'council tax': 'Ask agent'}</t>
        </is>
      </c>
      <c r="V100" t="b">
        <v>1</v>
      </c>
      <c r="X100" t="n">
        <v>17.1</v>
      </c>
      <c r="Y100" t="n">
        <v>47.3</v>
      </c>
      <c r="Z100">
        <f>IF(AND(ISNUMBER(B100), ISNUMBER(MIN(B$2:B$486)), ISNUMBER(MAX(B$2:B$486))), IF(MAX(B$2:B$486)=MIN(B$2:B$486), 50, ROUND((MAX(B$2:B$486)-B100)/(MAX(B$2:B$486)-MIN(B$2:B$486))*100, 2)), "")</f>
        <v/>
      </c>
      <c r="AA100">
        <f>IF(AND(ISNUMBER(X100), ISNUMBER(MIN(X$2:X$486)), ISNUMBER(MAX(X$2:X$486))), IF(MAX(X$2:X$486)=MIN(X$2:X$486), 50, ROUND((MAX(X$2:X$486)-X100)/(MAX(X$2:X$486)-MIN(X$2:X$486))*100, 2)), "")</f>
        <v/>
      </c>
      <c r="AB100">
        <f>IF(AND(ISNUMBER(U100), ISNUMBER(MIN(U$2:U$486)), ISNUMBER(MAX(U$2:U$486))), IF(MAX(U$2:U$486)=MIN(U$2:U$486), 50, ROUND((U100-MIN(U$2:U$486))/(MAX(U$2:U$486)-MIN(U$2:U$486))*100, 2)), "")</f>
        <v/>
      </c>
      <c r="AC100">
        <f>IF(AND(ISNUMBER(Z100), ISNUMBER(AA100), ISNUMBER(AB100)), ROUND((Z100+AA100+AB100)/3, 2), "")</f>
        <v/>
      </c>
    </row>
    <row r="101">
      <c r="A101" t="n">
        <v>87303834</v>
      </c>
      <c r="B101" t="n">
        <v>1750</v>
      </c>
      <c r="C101" t="inlineStr">
        <is>
          <t>£1,750 pcm</t>
        </is>
      </c>
      <c r="D101" t="inlineStr">
        <is>
          <t>monthly</t>
        </is>
      </c>
      <c r="E101" t="inlineStr">
        <is>
          <t>Flat</t>
        </is>
      </c>
      <c r="F101" t="n">
        <v>2</v>
      </c>
      <c r="G101" t="n">
        <v>1</v>
      </c>
      <c r="H101" t="inlineStr">
        <is>
          <t>Windmill Hill, Enfield, En3</t>
        </is>
      </c>
      <c r="I101" t="inlineStr">
        <is>
          <t>**Charming 2-Bedroom Conversion Apartment on Windmill Hill, Enfield, EN3**Situated in the desirable Windmill Hill area of Enfield, this unfurnished conversion apartment offers a comfortable and convenient living space ideal for professionals or small families.</t>
        </is>
      </c>
      <c r="J101" t="inlineStr">
        <is>
          <t>https://www.rightmove.co.uk/properties/87303834#/?channel=RES_LET</t>
        </is>
      </c>
      <c r="K101" t="inlineStr">
        <is>
          <t>/property-to-rent/contactBranch.html?propertyId=87303834</t>
        </is>
      </c>
      <c r="L101" t="inlineStr">
        <is>
          <t>Northview Residential, London</t>
        </is>
      </c>
      <c r="M101" t="n">
        <v>287924</v>
      </c>
      <c r="N101" t="inlineStr">
        <is>
          <t>Reduced on 14/10/2025</t>
        </is>
      </c>
      <c r="O101" t="inlineStr">
        <is>
          <t>2025-10-14T13:06:09Z</t>
        </is>
      </c>
      <c r="R101" t="inlineStr">
        <is>
          <t>2025-10-16T17:42:15.783216</t>
        </is>
      </c>
      <c r="S101" t="inlineStr">
        <is>
          <t>{'let available date': 'Now', 'deposit': 'Ask agent', 'min. tenancy': 'Ask agent', 'let type': 'Long term', 'furnish type': 'Unfurnished', 'council tax': 'Ask agent'}</t>
        </is>
      </c>
      <c r="T101" t="n">
        <v>677</v>
      </c>
      <c r="U101" t="n">
        <v>63</v>
      </c>
      <c r="V101" t="b">
        <v>1</v>
      </c>
      <c r="X101" t="n">
        <v>22.51</v>
      </c>
      <c r="Y101" t="n">
        <v>58.9</v>
      </c>
      <c r="Z101">
        <f>IF(AND(ISNUMBER(B101), ISNUMBER(MIN(B$2:B$486)), ISNUMBER(MAX(B$2:B$486))), IF(MAX(B$2:B$486)=MIN(B$2:B$486), 50, ROUND((MAX(B$2:B$486)-B101)/(MAX(B$2:B$486)-MIN(B$2:B$486))*100, 2)), "")</f>
        <v/>
      </c>
      <c r="AA101">
        <f>IF(AND(ISNUMBER(X101), ISNUMBER(MIN(X$2:X$486)), ISNUMBER(MAX(X$2:X$486))), IF(MAX(X$2:X$486)=MIN(X$2:X$486), 50, ROUND((MAX(X$2:X$486)-X101)/(MAX(X$2:X$486)-MIN(X$2:X$486))*100, 2)), "")</f>
        <v/>
      </c>
      <c r="AB101">
        <f>IF(AND(ISNUMBER(U101), ISNUMBER(MIN(U$2:U$486)), ISNUMBER(MAX(U$2:U$486))), IF(MAX(U$2:U$486)=MIN(U$2:U$486), 50, ROUND((U101-MIN(U$2:U$486))/(MAX(U$2:U$486)-MIN(U$2:U$486))*100, 2)), "")</f>
        <v/>
      </c>
      <c r="AC101">
        <f>IF(AND(ISNUMBER(Z101), ISNUMBER(AA101), ISNUMBER(AB101)), ROUND((Z101+AA101+AB101)/3, 2), "")</f>
        <v/>
      </c>
    </row>
    <row r="102">
      <c r="A102" t="n">
        <v>166134506</v>
      </c>
      <c r="B102" t="n">
        <v>1700</v>
      </c>
      <c r="C102" t="inlineStr">
        <is>
          <t>£1,700 pcm</t>
        </is>
      </c>
      <c r="D102" t="inlineStr">
        <is>
          <t>monthly</t>
        </is>
      </c>
      <c r="E102" t="inlineStr">
        <is>
          <t>Flat</t>
        </is>
      </c>
      <c r="F102" t="n">
        <v>2</v>
      </c>
      <c r="G102" t="n">
        <v>1</v>
      </c>
      <c r="H102" t="inlineStr">
        <is>
          <t>Friern Road, East Dulwich, London, SE22</t>
        </is>
      </c>
      <c r="I102" t="inlineStr">
        <is>
          <t>A spacious and homely two bedroom 3rd floor flat, just off Lordship Lane in East Dulwich, SE22.
Available to rent from November 2025</t>
        </is>
      </c>
      <c r="J102" t="inlineStr">
        <is>
          <t>https://www.rightmove.co.uk/properties/166134506#/?channel=RES_LET</t>
        </is>
      </c>
      <c r="K102" t="inlineStr">
        <is>
          <t>/property-to-rent/contactBranch.html?propertyId=166134506</t>
        </is>
      </c>
      <c r="L102" t="inlineStr">
        <is>
          <t>Northwood, Forest Hill</t>
        </is>
      </c>
      <c r="M102" t="n">
        <v>270887</v>
      </c>
      <c r="N102" t="inlineStr">
        <is>
          <t>Reduced on 30/09/2025</t>
        </is>
      </c>
      <c r="O102" t="inlineStr">
        <is>
          <t>2025-08-23T09:49:08Z</t>
        </is>
      </c>
      <c r="Q102" t="inlineStr">
        <is>
          <t>SE22</t>
        </is>
      </c>
      <c r="R102" t="inlineStr">
        <is>
          <t>2025-10-16T17:42:17.228133</t>
        </is>
      </c>
      <c r="S102" t="inlineStr">
        <is>
          <t>{'let available date': '01/11/2025', 'deposit': '£1,961', 'min. tenancy': 'Ask agent', 'let type': 'Long term', 'furnish type': 'Unfurnished', 'council tax': 'Ask agent'}</t>
        </is>
      </c>
      <c r="V102" t="b">
        <v>1</v>
      </c>
      <c r="X102" t="n">
        <v>10.29</v>
      </c>
      <c r="Y102" t="n">
        <v>39.1</v>
      </c>
      <c r="Z102">
        <f>IF(AND(ISNUMBER(B102), ISNUMBER(MIN(B$2:B$486)), ISNUMBER(MAX(B$2:B$486))), IF(MAX(B$2:B$486)=MIN(B$2:B$486), 50, ROUND((MAX(B$2:B$486)-B102)/(MAX(B$2:B$486)-MIN(B$2:B$486))*100, 2)), "")</f>
        <v/>
      </c>
      <c r="AA102">
        <f>IF(AND(ISNUMBER(X102), ISNUMBER(MIN(X$2:X$486)), ISNUMBER(MAX(X$2:X$486))), IF(MAX(X$2:X$486)=MIN(X$2:X$486), 50, ROUND((MAX(X$2:X$486)-X102)/(MAX(X$2:X$486)-MIN(X$2:X$486))*100, 2)), "")</f>
        <v/>
      </c>
      <c r="AB102">
        <f>IF(AND(ISNUMBER(U102), ISNUMBER(MIN(U$2:U$486)), ISNUMBER(MAX(U$2:U$486))), IF(MAX(U$2:U$486)=MIN(U$2:U$486), 50, ROUND((U102-MIN(U$2:U$486))/(MAX(U$2:U$486)-MIN(U$2:U$486))*100, 2)), "")</f>
        <v/>
      </c>
      <c r="AC102">
        <f>IF(AND(ISNUMBER(Z102), ISNUMBER(AA102), ISNUMBER(AB102)), ROUND((Z102+AA102+AB102)/3, 2), "")</f>
        <v/>
      </c>
    </row>
    <row r="103">
      <c r="A103" t="n">
        <v>158046104</v>
      </c>
      <c r="B103" t="n">
        <v>1600</v>
      </c>
      <c r="C103" t="inlineStr">
        <is>
          <t>£1,600 pcm</t>
        </is>
      </c>
      <c r="D103" t="inlineStr">
        <is>
          <t>monthly</t>
        </is>
      </c>
      <c r="E103" t="inlineStr">
        <is>
          <t>Terraced</t>
        </is>
      </c>
      <c r="F103" t="n">
        <v>2</v>
      </c>
      <c r="G103" t="n">
        <v>1</v>
      </c>
      <c r="H103" t="inlineStr">
        <is>
          <t>Corbicum, London, E11</t>
        </is>
      </c>
      <c r="I103" t="inlineStr">
        <is>
          <t>Short Let Now Available. Welcome to this charming period house located in the heart of Leytonstone, tucked away in Corbicum which is just (0.5mi) to Leytonstone central line underground. This delightful property boasts two well-proportioned bedrooms and comes partially furnished....</t>
        </is>
      </c>
      <c r="J103" t="inlineStr">
        <is>
          <t>https://www.rightmove.co.uk/properties/158046104#/?channel=RES_LET</t>
        </is>
      </c>
      <c r="K103" t="inlineStr">
        <is>
          <t>/property-to-rent/contactBranch.html?propertyId=158046104</t>
        </is>
      </c>
      <c r="L103" t="inlineStr">
        <is>
          <t>April, London</t>
        </is>
      </c>
      <c r="M103" t="n">
        <v>75126</v>
      </c>
      <c r="N103" t="inlineStr">
        <is>
          <t>Reduced on 14/10/2025</t>
        </is>
      </c>
      <c r="O103" t="inlineStr">
        <is>
          <t>2025-02-10T14:54:23Z</t>
        </is>
      </c>
      <c r="Q103" t="inlineStr">
        <is>
          <t>E11</t>
        </is>
      </c>
      <c r="R103" t="inlineStr">
        <is>
          <t>2025-10-16T17:42:17.228167</t>
        </is>
      </c>
      <c r="S103" t="inlineStr">
        <is>
          <t>{'let available date': 'Ask agent', 'deposit': '£369', 'min. tenancy': '1 month', 'let type': 'Short term', 'furnish type': 'Part furnished', 'council tax': 'Ask agent'}</t>
        </is>
      </c>
      <c r="V103" t="b">
        <v>1</v>
      </c>
      <c r="X103" t="n">
        <v>13.87</v>
      </c>
      <c r="Y103" t="n">
        <v>45.6</v>
      </c>
      <c r="Z103">
        <f>IF(AND(ISNUMBER(B103), ISNUMBER(MIN(B$2:B$486)), ISNUMBER(MAX(B$2:B$486))), IF(MAX(B$2:B$486)=MIN(B$2:B$486), 50, ROUND((MAX(B$2:B$486)-B103)/(MAX(B$2:B$486)-MIN(B$2:B$486))*100, 2)), "")</f>
        <v/>
      </c>
      <c r="AA103">
        <f>IF(AND(ISNUMBER(X103), ISNUMBER(MIN(X$2:X$486)), ISNUMBER(MAX(X$2:X$486))), IF(MAX(X$2:X$486)=MIN(X$2:X$486), 50, ROUND((MAX(X$2:X$486)-X103)/(MAX(X$2:X$486)-MIN(X$2:X$486))*100, 2)), "")</f>
        <v/>
      </c>
      <c r="AB103">
        <f>IF(AND(ISNUMBER(U103), ISNUMBER(MIN(U$2:U$486)), ISNUMBER(MAX(U$2:U$486))), IF(MAX(U$2:U$486)=MIN(U$2:U$486), 50, ROUND((U103-MIN(U$2:U$486))/(MAX(U$2:U$486)-MIN(U$2:U$486))*100, 2)), "")</f>
        <v/>
      </c>
      <c r="AC103">
        <f>IF(AND(ISNUMBER(Z103), ISNUMBER(AA103), ISNUMBER(AB103)), ROUND((Z103+AA103+AB103)/3, 2), "")</f>
        <v/>
      </c>
    </row>
    <row r="104">
      <c r="A104" t="n">
        <v>87302481</v>
      </c>
      <c r="B104" t="n">
        <v>1750</v>
      </c>
      <c r="C104" t="inlineStr">
        <is>
          <t>£1,750 pcm</t>
        </is>
      </c>
      <c r="D104" t="inlineStr">
        <is>
          <t>monthly</t>
        </is>
      </c>
      <c r="E104" t="inlineStr">
        <is>
          <t>Flat</t>
        </is>
      </c>
      <c r="F104" t="n">
        <v>2</v>
      </c>
      <c r="G104" t="n">
        <v>1</v>
      </c>
      <c r="H104" t="inlineStr">
        <is>
          <t>Old Church Road, London, E4</t>
        </is>
      </c>
      <c r="I104" t="inlineStr">
        <is>
          <t>We are pleased to present to the market this newly developed two double bedroom property, above commercial premises, in the heart of Chingford. The property comprises an open-plan kitchen and lou... ** Property Reference: 2657716 **</t>
        </is>
      </c>
      <c r="J104" t="inlineStr">
        <is>
          <t>https://www.rightmove.co.uk/properties/87302481#/?channel=RES_LET</t>
        </is>
      </c>
      <c r="K104" t="inlineStr">
        <is>
          <t>/property-to-rent/contactBranch.html?propertyId=87302481</t>
        </is>
      </c>
      <c r="L104" t="inlineStr">
        <is>
          <t>OpenRent, London</t>
        </is>
      </c>
      <c r="M104" t="n">
        <v>96668</v>
      </c>
      <c r="N104" t="inlineStr">
        <is>
          <t>Added on 14/10/2025</t>
        </is>
      </c>
      <c r="O104" t="inlineStr">
        <is>
          <t>2025-10-14T12:48:00Z</t>
        </is>
      </c>
      <c r="Q104" t="inlineStr">
        <is>
          <t>E4</t>
        </is>
      </c>
      <c r="R104" t="inlineStr">
        <is>
          <t>2025-10-16T17:42:17.228175</t>
        </is>
      </c>
      <c r="S104" t="inlineStr">
        <is>
          <t>{'let available date': 'Now', 'deposit': '£2,019', 'min. tenancy': 'Ask agent', 'let type': 'Long term', 'furnish type': 'Unfurnished', 'council tax': 'Ask agent'}</t>
        </is>
      </c>
      <c r="V104" t="b">
        <v>1</v>
      </c>
      <c r="X104" t="n">
        <v>19.48</v>
      </c>
      <c r="Y104" t="n">
        <v>57.2</v>
      </c>
      <c r="Z104">
        <f>IF(AND(ISNUMBER(B104), ISNUMBER(MIN(B$2:B$486)), ISNUMBER(MAX(B$2:B$486))), IF(MAX(B$2:B$486)=MIN(B$2:B$486), 50, ROUND((MAX(B$2:B$486)-B104)/(MAX(B$2:B$486)-MIN(B$2:B$486))*100, 2)), "")</f>
        <v/>
      </c>
      <c r="AA104">
        <f>IF(AND(ISNUMBER(X104), ISNUMBER(MIN(X$2:X$486)), ISNUMBER(MAX(X$2:X$486))), IF(MAX(X$2:X$486)=MIN(X$2:X$486), 50, ROUND((MAX(X$2:X$486)-X104)/(MAX(X$2:X$486)-MIN(X$2:X$486))*100, 2)), "")</f>
        <v/>
      </c>
      <c r="AB104">
        <f>IF(AND(ISNUMBER(U104), ISNUMBER(MIN(U$2:U$486)), ISNUMBER(MAX(U$2:U$486))), IF(MAX(U$2:U$486)=MIN(U$2:U$486), 50, ROUND((U104-MIN(U$2:U$486))/(MAX(U$2:U$486)-MIN(U$2:U$486))*100, 2)), "")</f>
        <v/>
      </c>
      <c r="AC104">
        <f>IF(AND(ISNUMBER(Z104), ISNUMBER(AA104), ISNUMBER(AB104)), ROUND((Z104+AA104+AB104)/3, 2), "")</f>
        <v/>
      </c>
    </row>
    <row r="105">
      <c r="A105" t="n">
        <v>166142105</v>
      </c>
      <c r="B105" t="n">
        <v>1750</v>
      </c>
      <c r="C105" t="inlineStr">
        <is>
          <t>£1,750 pcm</t>
        </is>
      </c>
      <c r="D105" t="inlineStr">
        <is>
          <t>monthly</t>
        </is>
      </c>
      <c r="E105" t="inlineStr">
        <is>
          <t>Flat</t>
        </is>
      </c>
      <c r="F105" t="n">
        <v>2</v>
      </c>
      <c r="G105" t="n">
        <v>1</v>
      </c>
      <c r="H105" t="inlineStr">
        <is>
          <t>LONG LANE, FINCHLEY, N3</t>
        </is>
      </c>
      <c r="I105" t="inlineStr">
        <is>
          <t xml:space="preserve">TWO DOUBLE BEDROOM first floor maisonette with access to own section of rear garden. Set back from Long Lane, close to Victoria Park. Finchley Central underground station is within three quarters of a mile. Shops, buses &amp; primary schools are nearer. </t>
        </is>
      </c>
      <c r="J105" t="inlineStr">
        <is>
          <t>https://www.rightmove.co.uk/properties/166142105#/?channel=RES_LET</t>
        </is>
      </c>
      <c r="K105" t="inlineStr">
        <is>
          <t>/property-to-rent/contactBranch.html?propertyId=166142105</t>
        </is>
      </c>
      <c r="L105" t="inlineStr">
        <is>
          <t>Bennett &amp; Hall, London</t>
        </is>
      </c>
      <c r="M105" t="n">
        <v>82444</v>
      </c>
      <c r="N105" t="inlineStr">
        <is>
          <t>Reduced on 14/10/2025</t>
        </is>
      </c>
      <c r="O105" t="inlineStr">
        <is>
          <t>2025-08-23T15:00:04Z</t>
        </is>
      </c>
      <c r="Q105" t="inlineStr">
        <is>
          <t>N3</t>
        </is>
      </c>
      <c r="R105" t="inlineStr">
        <is>
          <t>2025-10-16T17:42:17.228181</t>
        </is>
      </c>
      <c r="S105" t="inlineStr">
        <is>
          <t>{'let available date': 'Now', 'deposit': '£2,192', 'min. tenancy': 'Ask agent', 'let type': 'Long term', 'furnish type': 'Unfurnished', 'council tax': 'Ask agent'}</t>
        </is>
      </c>
      <c r="V105" t="b">
        <v>1</v>
      </c>
      <c r="X105" t="n">
        <v>13.41</v>
      </c>
      <c r="Y105" t="n">
        <v>45.8</v>
      </c>
      <c r="Z105">
        <f>IF(AND(ISNUMBER(B105), ISNUMBER(MIN(B$2:B$486)), ISNUMBER(MAX(B$2:B$486))), IF(MAX(B$2:B$486)=MIN(B$2:B$486), 50, ROUND((MAX(B$2:B$486)-B105)/(MAX(B$2:B$486)-MIN(B$2:B$486))*100, 2)), "")</f>
        <v/>
      </c>
      <c r="AA105">
        <f>IF(AND(ISNUMBER(X105), ISNUMBER(MIN(X$2:X$486)), ISNUMBER(MAX(X$2:X$486))), IF(MAX(X$2:X$486)=MIN(X$2:X$486), 50, ROUND((MAX(X$2:X$486)-X105)/(MAX(X$2:X$486)-MIN(X$2:X$486))*100, 2)), "")</f>
        <v/>
      </c>
      <c r="AB105">
        <f>IF(AND(ISNUMBER(U105), ISNUMBER(MIN(U$2:U$486)), ISNUMBER(MAX(U$2:U$486))), IF(MAX(U$2:U$486)=MIN(U$2:U$486), 50, ROUND((U105-MIN(U$2:U$486))/(MAX(U$2:U$486)-MIN(U$2:U$486))*100, 2)), "")</f>
        <v/>
      </c>
      <c r="AC105">
        <f>IF(AND(ISNUMBER(Z105), ISNUMBER(AA105), ISNUMBER(AB105)), ROUND((Z105+AA105+AB105)/3, 2), "")</f>
        <v/>
      </c>
    </row>
    <row r="106">
      <c r="A106" t="n">
        <v>167184833</v>
      </c>
      <c r="B106" t="n">
        <v>1750</v>
      </c>
      <c r="C106" t="inlineStr">
        <is>
          <t>£1,750 pcm</t>
        </is>
      </c>
      <c r="D106" t="inlineStr">
        <is>
          <t>monthly</t>
        </is>
      </c>
      <c r="E106" t="inlineStr">
        <is>
          <t>Terraced</t>
        </is>
      </c>
      <c r="F106" t="n">
        <v>2</v>
      </c>
      <c r="G106" t="n">
        <v>1</v>
      </c>
      <c r="H106" t="inlineStr">
        <is>
          <t>Avenue Road, London</t>
        </is>
      </c>
      <c r="I106" t="inlineStr">
        <is>
          <t>Tucked away from bustle, yet still in the heart of Harlesden, we present a 2 bedroom Mid-Terrace House for rent. Located just a few yards away from the popular Harlesden High Rd, and therefore benefitting from a wide array of local amenities, transport links, shops and eateries on the doorste...</t>
        </is>
      </c>
      <c r="J106" t="inlineStr">
        <is>
          <t>https://www.rightmove.co.uk/properties/167184833#/?channel=RES_LET</t>
        </is>
      </c>
      <c r="K106" t="inlineStr">
        <is>
          <t>/property-to-rent/contactBranch.html?propertyId=167184833</t>
        </is>
      </c>
      <c r="L106" t="inlineStr">
        <is>
          <t>Portland Estate Agents, London</t>
        </is>
      </c>
      <c r="M106" t="n">
        <v>139901</v>
      </c>
      <c r="N106" t="inlineStr">
        <is>
          <t>Reduced on 14/10/2025</t>
        </is>
      </c>
      <c r="O106" t="inlineStr">
        <is>
          <t>2025-09-19T11:32:21Z</t>
        </is>
      </c>
      <c r="R106" t="inlineStr">
        <is>
          <t>2025-10-16T17:42:17.228187</t>
        </is>
      </c>
      <c r="S106" t="inlineStr">
        <is>
          <t>{'let available date': '18/11/2025', 'deposit': '£2,019', 'min. tenancy': 'Ask agent', 'let type': 'Long term', 'furnish type': 'Furnished', 'council tax': 'Ask agent'}</t>
        </is>
      </c>
      <c r="T106" t="n">
        <v>796</v>
      </c>
      <c r="U106" t="n">
        <v>74</v>
      </c>
      <c r="V106" t="b">
        <v>1</v>
      </c>
      <c r="X106" t="n">
        <v>5.81</v>
      </c>
      <c r="Y106" t="n">
        <v>25</v>
      </c>
      <c r="Z106">
        <f>IF(AND(ISNUMBER(B106), ISNUMBER(MIN(B$2:B$486)), ISNUMBER(MAX(B$2:B$486))), IF(MAX(B$2:B$486)=MIN(B$2:B$486), 50, ROUND((MAX(B$2:B$486)-B106)/(MAX(B$2:B$486)-MIN(B$2:B$486))*100, 2)), "")</f>
        <v/>
      </c>
      <c r="AA106">
        <f>IF(AND(ISNUMBER(X106), ISNUMBER(MIN(X$2:X$486)), ISNUMBER(MAX(X$2:X$486))), IF(MAX(X$2:X$486)=MIN(X$2:X$486), 50, ROUND((MAX(X$2:X$486)-X106)/(MAX(X$2:X$486)-MIN(X$2:X$486))*100, 2)), "")</f>
        <v/>
      </c>
      <c r="AB106">
        <f>IF(AND(ISNUMBER(U106), ISNUMBER(MIN(U$2:U$486)), ISNUMBER(MAX(U$2:U$486))), IF(MAX(U$2:U$486)=MIN(U$2:U$486), 50, ROUND((U106-MIN(U$2:U$486))/(MAX(U$2:U$486)-MIN(U$2:U$486))*100, 2)), "")</f>
        <v/>
      </c>
      <c r="AC106">
        <f>IF(AND(ISNUMBER(Z106), ISNUMBER(AA106), ISNUMBER(AB106)), ROUND((Z106+AA106+AB106)/3, 2), "")</f>
        <v/>
      </c>
    </row>
    <row r="107">
      <c r="A107" t="n">
        <v>167440991</v>
      </c>
      <c r="B107" t="n">
        <v>1650</v>
      </c>
      <c r="C107" t="inlineStr">
        <is>
          <t>£1,650 pcm</t>
        </is>
      </c>
      <c r="D107" t="inlineStr">
        <is>
          <t>monthly</t>
        </is>
      </c>
      <c r="E107" t="inlineStr">
        <is>
          <t>Flat</t>
        </is>
      </c>
      <c r="F107" t="n">
        <v>2</v>
      </c>
      <c r="G107" t="n">
        <v>1</v>
      </c>
      <c r="H107" t="inlineStr">
        <is>
          <t>Christchurch Park, Sutton, SM2</t>
        </is>
      </c>
      <c r="I107" t="inlineStr">
        <is>
          <t>ZERO DEPOSIT AVAILABLE. LONG LET. Set on the 1st floor of a purpose built block, this fantastic 2 bedroom flat boast bright and spacious reception room with space to dine, well-proportioned bedrooms and a private garage.</t>
        </is>
      </c>
      <c r="J107" t="inlineStr">
        <is>
          <t>https://www.rightmove.co.uk/properties/167440991#/?channel=RES_LET</t>
        </is>
      </c>
      <c r="K107" t="inlineStr">
        <is>
          <t>/property-to-rent/contactBranch.html?propertyId=167440991</t>
        </is>
      </c>
      <c r="L107" t="inlineStr">
        <is>
          <t>Foxtons, New Malden</t>
        </is>
      </c>
      <c r="M107" t="n">
        <v>149153</v>
      </c>
      <c r="N107" t="inlineStr">
        <is>
          <t>Reduced on 14/10/2025</t>
        </is>
      </c>
      <c r="O107" t="inlineStr">
        <is>
          <t>2025-09-25T18:46:44Z</t>
        </is>
      </c>
      <c r="Q107" t="inlineStr">
        <is>
          <t>SM2</t>
        </is>
      </c>
      <c r="R107" t="inlineStr">
        <is>
          <t>2025-10-16T17:42:17.228193</t>
        </is>
      </c>
      <c r="S107" t="inlineStr">
        <is>
          <t>{'let available date': 'Ask agent', 'deposit': '£1,904', 'min. tenancy': 'Ask agent', 'let type': 'Long term', 'furnish type': 'Furnished', 'council tax': 'Ask agent'}</t>
        </is>
      </c>
      <c r="T107" t="n">
        <v>778</v>
      </c>
      <c r="U107" t="n">
        <v>72</v>
      </c>
      <c r="V107" t="b">
        <v>1</v>
      </c>
      <c r="X107" t="n">
        <v>24.26</v>
      </c>
      <c r="Y107" t="n">
        <v>66.3</v>
      </c>
      <c r="Z107">
        <f>IF(AND(ISNUMBER(B107), ISNUMBER(MIN(B$2:B$486)), ISNUMBER(MAX(B$2:B$486))), IF(MAX(B$2:B$486)=MIN(B$2:B$486), 50, ROUND((MAX(B$2:B$486)-B107)/(MAX(B$2:B$486)-MIN(B$2:B$486))*100, 2)), "")</f>
        <v/>
      </c>
      <c r="AA107">
        <f>IF(AND(ISNUMBER(X107), ISNUMBER(MIN(X$2:X$486)), ISNUMBER(MAX(X$2:X$486))), IF(MAX(X$2:X$486)=MIN(X$2:X$486), 50, ROUND((MAX(X$2:X$486)-X107)/(MAX(X$2:X$486)-MIN(X$2:X$486))*100, 2)), "")</f>
        <v/>
      </c>
      <c r="AB107">
        <f>IF(AND(ISNUMBER(U107), ISNUMBER(MIN(U$2:U$486)), ISNUMBER(MAX(U$2:U$486))), IF(MAX(U$2:U$486)=MIN(U$2:U$486), 50, ROUND((U107-MIN(U$2:U$486))/(MAX(U$2:U$486)-MIN(U$2:U$486))*100, 2)), "")</f>
        <v/>
      </c>
      <c r="AC107">
        <f>IF(AND(ISNUMBER(Z107), ISNUMBER(AA107), ISNUMBER(AB107)), ROUND((Z107+AA107+AB107)/3, 2), "")</f>
        <v/>
      </c>
    </row>
    <row r="108">
      <c r="A108" t="n">
        <v>167385794</v>
      </c>
      <c r="B108" t="n">
        <v>1750</v>
      </c>
      <c r="C108" t="inlineStr">
        <is>
          <t>£1,750 pcm</t>
        </is>
      </c>
      <c r="D108" t="inlineStr">
        <is>
          <t>monthly</t>
        </is>
      </c>
      <c r="E108" t="inlineStr">
        <is>
          <t>Not Specified</t>
        </is>
      </c>
      <c r="F108" t="n">
        <v>2</v>
      </c>
      <c r="G108" t="n">
        <v>1</v>
      </c>
      <c r="H108" t="inlineStr">
        <is>
          <t>Madeira Road, Streatham, London, SW16</t>
        </is>
      </c>
      <c r="I108" t="inlineStr">
        <is>
          <t>A unique and wonderfully presented two bedroom flat for rent located in a handsome mansion block building moments from the amenities of Streatham Hub and the open spaces of the Common.</t>
        </is>
      </c>
      <c r="J108" t="inlineStr">
        <is>
          <t>https://www.rightmove.co.uk/properties/167385794#/?channel=RES_LET</t>
        </is>
      </c>
      <c r="K108" t="inlineStr">
        <is>
          <t>/property-to-rent/contactBranch.html?propertyId=167385794</t>
        </is>
      </c>
      <c r="L108" t="inlineStr">
        <is>
          <t>Kinleigh Folkard &amp; Hayward - Lettings, Streatham</t>
        </is>
      </c>
      <c r="M108" t="n">
        <v>57979</v>
      </c>
      <c r="N108" t="inlineStr">
        <is>
          <t>Reduced on 14/10/2025</t>
        </is>
      </c>
      <c r="O108" t="inlineStr">
        <is>
          <t>2025-09-24T19:17:17Z</t>
        </is>
      </c>
      <c r="Q108" t="inlineStr">
        <is>
          <t>SW16</t>
        </is>
      </c>
      <c r="R108" t="inlineStr">
        <is>
          <t>2025-10-16T17:42:17.228198</t>
        </is>
      </c>
      <c r="S108" t="inlineStr">
        <is>
          <t>{'let available date': '26/10/2025', 'deposit': '£0', 'min. tenancy': 'Ask agent', 'let type': 'Long term', 'furnish type': 'Unfurnished', 'council tax': 'Ask agent'}</t>
        </is>
      </c>
      <c r="V108" t="b">
        <v>1</v>
      </c>
      <c r="X108" t="n">
        <v>12.65</v>
      </c>
      <c r="Y108" t="n">
        <v>45.8</v>
      </c>
      <c r="Z108">
        <f>IF(AND(ISNUMBER(B108), ISNUMBER(MIN(B$2:B$486)), ISNUMBER(MAX(B$2:B$486))), IF(MAX(B$2:B$486)=MIN(B$2:B$486), 50, ROUND((MAX(B$2:B$486)-B108)/(MAX(B$2:B$486)-MIN(B$2:B$486))*100, 2)), "")</f>
        <v/>
      </c>
      <c r="AA108">
        <f>IF(AND(ISNUMBER(X108), ISNUMBER(MIN(X$2:X$486)), ISNUMBER(MAX(X$2:X$486))), IF(MAX(X$2:X$486)=MIN(X$2:X$486), 50, ROUND((MAX(X$2:X$486)-X108)/(MAX(X$2:X$486)-MIN(X$2:X$486))*100, 2)), "")</f>
        <v/>
      </c>
      <c r="AB108">
        <f>IF(AND(ISNUMBER(U108), ISNUMBER(MIN(U$2:U$486)), ISNUMBER(MAX(U$2:U$486))), IF(MAX(U$2:U$486)=MIN(U$2:U$486), 50, ROUND((U108-MIN(U$2:U$486))/(MAX(U$2:U$486)-MIN(U$2:U$486))*100, 2)), "")</f>
        <v/>
      </c>
      <c r="AC108">
        <f>IF(AND(ISNUMBER(Z108), ISNUMBER(AA108), ISNUMBER(AB108)), ROUND((Z108+AA108+AB108)/3, 2), "")</f>
        <v/>
      </c>
    </row>
    <row r="109">
      <c r="A109" t="n">
        <v>87296382</v>
      </c>
      <c r="B109" t="n">
        <v>380</v>
      </c>
      <c r="C109" t="inlineStr">
        <is>
          <t>£1,647 pcm</t>
        </is>
      </c>
      <c r="D109" t="inlineStr">
        <is>
          <t>weekly</t>
        </is>
      </c>
      <c r="E109" t="inlineStr">
        <is>
          <t>Flat</t>
        </is>
      </c>
      <c r="F109" t="n">
        <v>2</v>
      </c>
      <c r="G109" t="n">
        <v>1</v>
      </c>
      <c r="H109" t="inlineStr">
        <is>
          <t>St. Andrews Road, London NW9 8DL</t>
        </is>
      </c>
      <c r="I109" t="inlineStr">
        <is>
          <t>A spacious 2 bedroom first floor flat with garden and parking * 1 Double and 1 single sized bedrooms with built in wardrobes * Large and modern fully fitted kitchen with access to shared rear garden * Spacious reception room * Bright and modern fully tiled bathroom * Offered i...</t>
        </is>
      </c>
      <c r="J109" t="inlineStr">
        <is>
          <t>https://www.rightmove.co.uk/properties/87296382#/?channel=RES_LET</t>
        </is>
      </c>
      <c r="K109" t="inlineStr">
        <is>
          <t>/property-to-rent/contactBranch.html?propertyId=87296382</t>
        </is>
      </c>
      <c r="L109" t="inlineStr">
        <is>
          <t>Churchill &amp; Mathesons, Harlesden</t>
        </is>
      </c>
      <c r="M109" t="n">
        <v>266774</v>
      </c>
      <c r="N109" t="inlineStr">
        <is>
          <t>Added on 14/10/2025</t>
        </is>
      </c>
      <c r="O109" t="inlineStr">
        <is>
          <t>2025-10-14T11:33:01Z</t>
        </is>
      </c>
      <c r="Q109" t="inlineStr">
        <is>
          <t>NW9</t>
        </is>
      </c>
      <c r="R109" t="inlineStr">
        <is>
          <t>2025-10-16T17:42:17.228204</t>
        </is>
      </c>
      <c r="S109" t="inlineStr">
        <is>
          <t>{'let available date': '16/12/2025', 'deposit': '£1,900', 'min. tenancy': 'Ask agent', 'let type': 'Long term', 'furnish type': 'Unfurnished', 'council tax': 'Ask agent'}</t>
        </is>
      </c>
      <c r="V109" t="b">
        <v>1</v>
      </c>
      <c r="X109" t="n">
        <v>15.5</v>
      </c>
      <c r="Y109" t="n">
        <v>45.7</v>
      </c>
      <c r="Z109">
        <f>IF(AND(ISNUMBER(B109), ISNUMBER(MIN(B$2:B$486)), ISNUMBER(MAX(B$2:B$486))), IF(MAX(B$2:B$486)=MIN(B$2:B$486), 50, ROUND((MAX(B$2:B$486)-B109)/(MAX(B$2:B$486)-MIN(B$2:B$486))*100, 2)), "")</f>
        <v/>
      </c>
      <c r="AA109">
        <f>IF(AND(ISNUMBER(X109), ISNUMBER(MIN(X$2:X$486)), ISNUMBER(MAX(X$2:X$486))), IF(MAX(X$2:X$486)=MIN(X$2:X$486), 50, ROUND((MAX(X$2:X$486)-X109)/(MAX(X$2:X$486)-MIN(X$2:X$486))*100, 2)), "")</f>
        <v/>
      </c>
      <c r="AB109">
        <f>IF(AND(ISNUMBER(U109), ISNUMBER(MIN(U$2:U$486)), ISNUMBER(MAX(U$2:U$486))), IF(MAX(U$2:U$486)=MIN(U$2:U$486), 50, ROUND((U109-MIN(U$2:U$486))/(MAX(U$2:U$486)-MIN(U$2:U$486))*100, 2)), "")</f>
        <v/>
      </c>
      <c r="AC109">
        <f>IF(AND(ISNUMBER(Z109), ISNUMBER(AA109), ISNUMBER(AB109)), ROUND((Z109+AA109+AB109)/3, 2), "")</f>
        <v/>
      </c>
    </row>
    <row r="110">
      <c r="A110" t="n">
        <v>167234273</v>
      </c>
      <c r="B110" t="n">
        <v>1750</v>
      </c>
      <c r="C110" t="inlineStr">
        <is>
          <t>£1,750 pcm</t>
        </is>
      </c>
      <c r="D110" t="inlineStr">
        <is>
          <t>monthly</t>
        </is>
      </c>
      <c r="E110" t="inlineStr">
        <is>
          <t>Flat</t>
        </is>
      </c>
      <c r="F110" t="n">
        <v>2</v>
      </c>
      <c r="G110" t="n">
        <v>1</v>
      </c>
      <c r="H110" t="inlineStr">
        <is>
          <t>Mellison Road, London, SW17</t>
        </is>
      </c>
      <c r="I110" t="inlineStr">
        <is>
          <t>** OFFERS IN EXCESS OF £1750 PCM ** A two bedroom garden flat on Mellison Road. The property has been finished to a nice standard throughout and comprises bright reception room, separate eat in kitchen with doors leading onto a private garden, two double bedrooms and modern bathroom wi...</t>
        </is>
      </c>
      <c r="J110" t="inlineStr">
        <is>
          <t>https://www.rightmove.co.uk/properties/167234273#/?channel=RES_LET</t>
        </is>
      </c>
      <c r="K110" t="inlineStr">
        <is>
          <t>/property-to-rent/contactBranch.html?propertyId=167234273</t>
        </is>
      </c>
      <c r="L110" t="inlineStr">
        <is>
          <t>Aspire, Balham</t>
        </is>
      </c>
      <c r="M110" t="n">
        <v>45018</v>
      </c>
      <c r="N110" t="inlineStr">
        <is>
          <t>Reduced on 14/10/2025</t>
        </is>
      </c>
      <c r="O110" t="inlineStr">
        <is>
          <t>2025-09-20T22:14:06Z</t>
        </is>
      </c>
      <c r="Q110" t="inlineStr">
        <is>
          <t>SW17</t>
        </is>
      </c>
      <c r="R110" t="inlineStr">
        <is>
          <t>2025-10-16T17:42:17.228210</t>
        </is>
      </c>
      <c r="S110" t="inlineStr">
        <is>
          <t>{'let available date': '27/10/2025', 'deposit': '£0', 'min. tenancy': 'Ask agent', 'let type': 'Long term', 'furnish type': 'Part furnished', 'council tax': 'Ask agent'}</t>
        </is>
      </c>
      <c r="V110" t="b">
        <v>1</v>
      </c>
      <c r="X110" t="n">
        <v>12.33</v>
      </c>
      <c r="Y110" t="n">
        <v>43</v>
      </c>
      <c r="Z110">
        <f>IF(AND(ISNUMBER(B110), ISNUMBER(MIN(B$2:B$486)), ISNUMBER(MAX(B$2:B$486))), IF(MAX(B$2:B$486)=MIN(B$2:B$486), 50, ROUND((MAX(B$2:B$486)-B110)/(MAX(B$2:B$486)-MIN(B$2:B$486))*100, 2)), "")</f>
        <v/>
      </c>
      <c r="AA110">
        <f>IF(AND(ISNUMBER(X110), ISNUMBER(MIN(X$2:X$486)), ISNUMBER(MAX(X$2:X$486))), IF(MAX(X$2:X$486)=MIN(X$2:X$486), 50, ROUND((MAX(X$2:X$486)-X110)/(MAX(X$2:X$486)-MIN(X$2:X$486))*100, 2)), "")</f>
        <v/>
      </c>
      <c r="AB110">
        <f>IF(AND(ISNUMBER(U110), ISNUMBER(MIN(U$2:U$486)), ISNUMBER(MAX(U$2:U$486))), IF(MAX(U$2:U$486)=MIN(U$2:U$486), 50, ROUND((U110-MIN(U$2:U$486))/(MAX(U$2:U$486)-MIN(U$2:U$486))*100, 2)), "")</f>
        <v/>
      </c>
      <c r="AC110">
        <f>IF(AND(ISNUMBER(Z110), ISNUMBER(AA110), ISNUMBER(AB110)), ROUND((Z110+AA110+AB110)/3, 2), "")</f>
        <v/>
      </c>
    </row>
    <row r="111">
      <c r="A111" t="n">
        <v>167925104</v>
      </c>
      <c r="B111" t="n">
        <v>1750</v>
      </c>
      <c r="C111" t="inlineStr">
        <is>
          <t>£1,750 pcm</t>
        </is>
      </c>
      <c r="D111" t="inlineStr">
        <is>
          <t>monthly</t>
        </is>
      </c>
      <c r="E111" t="inlineStr">
        <is>
          <t>Flat</t>
        </is>
      </c>
      <c r="F111" t="n">
        <v>2</v>
      </c>
      <c r="G111" t="n">
        <v>1</v>
      </c>
      <c r="H111" t="inlineStr">
        <is>
          <t>Southwood Road, New Eltham, SE9</t>
        </is>
      </c>
      <c r="I111" t="inlineStr">
        <is>
          <t>** Zero Deposit Guarantee Available **
Two Bedroom Recently Renovated Flat in New Eltham - Available Now | Zero Deposit Available | EPC Rating: B | Council Tax Band: C Discover this stunning two-bedroom flat in the heart of New Eltham, just minutes from New Eltham Train Station. Recently renov...</t>
        </is>
      </c>
      <c r="J111" t="inlineStr">
        <is>
          <t>https://www.rightmove.co.uk/properties/167925104#/?channel=RES_LET</t>
        </is>
      </c>
      <c r="K111" t="inlineStr">
        <is>
          <t>/property-to-rent/contactBranch.html?propertyId=167925104</t>
        </is>
      </c>
      <c r="L111" t="inlineStr">
        <is>
          <t>Mann Lettings, Lewisham</t>
        </is>
      </c>
      <c r="M111" t="n">
        <v>51234</v>
      </c>
      <c r="N111" t="inlineStr">
        <is>
          <t>Reduced on 14/10/2025</t>
        </is>
      </c>
      <c r="O111" t="inlineStr">
        <is>
          <t>2025-10-07T15:59:01Z</t>
        </is>
      </c>
      <c r="Q111" t="inlineStr">
        <is>
          <t>SE9</t>
        </is>
      </c>
      <c r="R111" t="inlineStr">
        <is>
          <t>2025-10-16T17:42:17.228220</t>
        </is>
      </c>
      <c r="S111" t="inlineStr">
        <is>
          <t>{'let available date': 'Now', 'deposit': '£2,015', 'min. tenancy': 'Ask agent', 'let type': 'Long term', 'furnish type': 'Unfurnished', 'council tax': 'Ask agent'}</t>
        </is>
      </c>
      <c r="V111" t="b">
        <v>1</v>
      </c>
      <c r="X111" t="n">
        <v>22.55</v>
      </c>
      <c r="Y111" t="n">
        <v>51.8</v>
      </c>
      <c r="Z111">
        <f>IF(AND(ISNUMBER(B111), ISNUMBER(MIN(B$2:B$486)), ISNUMBER(MAX(B$2:B$486))), IF(MAX(B$2:B$486)=MIN(B$2:B$486), 50, ROUND((MAX(B$2:B$486)-B111)/(MAX(B$2:B$486)-MIN(B$2:B$486))*100, 2)), "")</f>
        <v/>
      </c>
      <c r="AA111">
        <f>IF(AND(ISNUMBER(X111), ISNUMBER(MIN(X$2:X$486)), ISNUMBER(MAX(X$2:X$486))), IF(MAX(X$2:X$486)=MIN(X$2:X$486), 50, ROUND((MAX(X$2:X$486)-X111)/(MAX(X$2:X$486)-MIN(X$2:X$486))*100, 2)), "")</f>
        <v/>
      </c>
      <c r="AB111">
        <f>IF(AND(ISNUMBER(U111), ISNUMBER(MIN(U$2:U$486)), ISNUMBER(MAX(U$2:U$486))), IF(MAX(U$2:U$486)=MIN(U$2:U$486), 50, ROUND((U111-MIN(U$2:U$486))/(MAX(U$2:U$486)-MIN(U$2:U$486))*100, 2)), "")</f>
        <v/>
      </c>
      <c r="AC111">
        <f>IF(AND(ISNUMBER(Z111), ISNUMBER(AA111), ISNUMBER(AB111)), ROUND((Z111+AA111+AB111)/3, 2), "")</f>
        <v/>
      </c>
    </row>
    <row r="112">
      <c r="A112" t="n">
        <v>167988353</v>
      </c>
      <c r="B112" t="n">
        <v>1750</v>
      </c>
      <c r="C112" t="inlineStr">
        <is>
          <t>£1,750 pcm</t>
        </is>
      </c>
      <c r="D112" t="inlineStr">
        <is>
          <t>monthly</t>
        </is>
      </c>
      <c r="E112" t="inlineStr">
        <is>
          <t>Apartment</t>
        </is>
      </c>
      <c r="F112" t="n">
        <v>2</v>
      </c>
      <c r="G112" t="n">
        <v>1</v>
      </c>
      <c r="H112" t="inlineStr">
        <is>
          <t>St German's Road, London, SE23</t>
        </is>
      </c>
      <c r="I112" t="inlineStr">
        <is>
          <t>Bright &amp; Spacious two double bedroom Apartment with private balcony located in Lewisham</t>
        </is>
      </c>
      <c r="J112" t="inlineStr">
        <is>
          <t>https://www.rightmove.co.uk/properties/167988353#/?channel=RES_LET</t>
        </is>
      </c>
      <c r="K112" t="inlineStr">
        <is>
          <t>/property-to-rent/contactBranch.html?propertyId=167988353</t>
        </is>
      </c>
      <c r="L112" t="inlineStr">
        <is>
          <t>Hello Neighbour, London</t>
        </is>
      </c>
      <c r="M112" t="n">
        <v>221711</v>
      </c>
      <c r="N112" t="inlineStr">
        <is>
          <t>Reduced on 14/10/2025</t>
        </is>
      </c>
      <c r="O112" t="inlineStr">
        <is>
          <t>2025-10-08T14:34:35Z</t>
        </is>
      </c>
      <c r="Q112" t="inlineStr">
        <is>
          <t>SE23</t>
        </is>
      </c>
      <c r="R112" t="inlineStr">
        <is>
          <t>2025-10-16T17:42:17.228226</t>
        </is>
      </c>
      <c r="S112" t="inlineStr">
        <is>
          <t>{'let available date': 'Now', 'deposit': '£2,019', 'min. tenancy': '12 months', 'let type': 'Long term', 'furnish type': 'Unfurnished', 'council tax': 'Ask agent'}</t>
        </is>
      </c>
      <c r="T112" t="n">
        <v>716</v>
      </c>
      <c r="U112" t="n">
        <v>67</v>
      </c>
      <c r="V112" t="b">
        <v>1</v>
      </c>
      <c r="X112" t="n">
        <v>13.45</v>
      </c>
      <c r="Y112" t="n">
        <v>47.9</v>
      </c>
      <c r="Z112">
        <f>IF(AND(ISNUMBER(B112), ISNUMBER(MIN(B$2:B$486)), ISNUMBER(MAX(B$2:B$486))), IF(MAX(B$2:B$486)=MIN(B$2:B$486), 50, ROUND((MAX(B$2:B$486)-B112)/(MAX(B$2:B$486)-MIN(B$2:B$486))*100, 2)), "")</f>
        <v/>
      </c>
      <c r="AA112">
        <f>IF(AND(ISNUMBER(X112), ISNUMBER(MIN(X$2:X$486)), ISNUMBER(MAX(X$2:X$486))), IF(MAX(X$2:X$486)=MIN(X$2:X$486), 50, ROUND((MAX(X$2:X$486)-X112)/(MAX(X$2:X$486)-MIN(X$2:X$486))*100, 2)), "")</f>
        <v/>
      </c>
      <c r="AB112">
        <f>IF(AND(ISNUMBER(U112), ISNUMBER(MIN(U$2:U$486)), ISNUMBER(MAX(U$2:U$486))), IF(MAX(U$2:U$486)=MIN(U$2:U$486), 50, ROUND((U112-MIN(U$2:U$486))/(MAX(U$2:U$486)-MIN(U$2:U$486))*100, 2)), "")</f>
        <v/>
      </c>
      <c r="AC112">
        <f>IF(AND(ISNUMBER(Z112), ISNUMBER(AA112), ISNUMBER(AB112)), ROUND((Z112+AA112+AB112)/3, 2), "")</f>
        <v/>
      </c>
    </row>
    <row r="113">
      <c r="A113" t="n">
        <v>87289764</v>
      </c>
      <c r="B113" t="n">
        <v>1700</v>
      </c>
      <c r="C113" t="inlineStr">
        <is>
          <t>£1,700 pcm</t>
        </is>
      </c>
      <c r="D113" t="inlineStr">
        <is>
          <t>monthly</t>
        </is>
      </c>
      <c r="E113" t="inlineStr">
        <is>
          <t>End of Terrace</t>
        </is>
      </c>
      <c r="F113" t="n">
        <v>2</v>
      </c>
      <c r="G113" t="n">
        <v>1</v>
      </c>
      <c r="H113" t="inlineStr">
        <is>
          <t>Coventry Road, London, SE25</t>
        </is>
      </c>
      <c r="I113" t="inlineStr">
        <is>
          <t>A unique two bedroom semi-detached flint stone cottage located in the immediate vicinity of Norwood Junction Station. The property displays a range of period features and offers a warm and rustic character throughout. Conveniently situated for local amenities, transport links, and scho...</t>
        </is>
      </c>
      <c r="J113" t="inlineStr">
        <is>
          <t>https://www.rightmove.co.uk/properties/87289764#/?channel=RES_LET</t>
        </is>
      </c>
      <c r="K113" t="inlineStr">
        <is>
          <t>/property-to-rent/contactBranch.html?propertyId=87289764</t>
        </is>
      </c>
      <c r="L113" t="inlineStr">
        <is>
          <t>Stirling Ackroyd Lettings, South Norwood - Lettings</t>
        </is>
      </c>
      <c r="M113" t="n">
        <v>66533</v>
      </c>
      <c r="N113" t="inlineStr">
        <is>
          <t>Added on 14/10/2025</t>
        </is>
      </c>
      <c r="O113" t="inlineStr">
        <is>
          <t>2025-10-14T10:08:53Z</t>
        </is>
      </c>
      <c r="Q113" t="inlineStr">
        <is>
          <t>SE25</t>
        </is>
      </c>
      <c r="R113" t="inlineStr">
        <is>
          <t>2025-10-16T17:42:17.228231</t>
        </is>
      </c>
      <c r="S113" t="inlineStr">
        <is>
          <t>{'let available date': '31/10/2025', 'deposit': '£1,961', 'min. tenancy': '12 months', 'let type': 'Long term', 'furnish type': 'Unfurnished', 'council tax': 'Ask agent'}</t>
        </is>
      </c>
      <c r="V113" t="b">
        <v>1</v>
      </c>
      <c r="X113" t="n">
        <v>16.69</v>
      </c>
      <c r="Y113" t="n">
        <v>52.9</v>
      </c>
      <c r="Z113">
        <f>IF(AND(ISNUMBER(B113), ISNUMBER(MIN(B$2:B$486)), ISNUMBER(MAX(B$2:B$486))), IF(MAX(B$2:B$486)=MIN(B$2:B$486), 50, ROUND((MAX(B$2:B$486)-B113)/(MAX(B$2:B$486)-MIN(B$2:B$486))*100, 2)), "")</f>
        <v/>
      </c>
      <c r="AA113">
        <f>IF(AND(ISNUMBER(X113), ISNUMBER(MIN(X$2:X$486)), ISNUMBER(MAX(X$2:X$486))), IF(MAX(X$2:X$486)=MIN(X$2:X$486), 50, ROUND((MAX(X$2:X$486)-X113)/(MAX(X$2:X$486)-MIN(X$2:X$486))*100, 2)), "")</f>
        <v/>
      </c>
      <c r="AB113">
        <f>IF(AND(ISNUMBER(U113), ISNUMBER(MIN(U$2:U$486)), ISNUMBER(MAX(U$2:U$486))), IF(MAX(U$2:U$486)=MIN(U$2:U$486), 50, ROUND((U113-MIN(U$2:U$486))/(MAX(U$2:U$486)-MIN(U$2:U$486))*100, 2)), "")</f>
        <v/>
      </c>
      <c r="AC113">
        <f>IF(AND(ISNUMBER(Z113), ISNUMBER(AA113), ISNUMBER(AB113)), ROUND((Z113+AA113+AB113)/3, 2), "")</f>
        <v/>
      </c>
    </row>
    <row r="114">
      <c r="A114" t="n">
        <v>167638409</v>
      </c>
      <c r="B114" t="n">
        <v>1700</v>
      </c>
      <c r="C114" t="inlineStr">
        <is>
          <t>£1,700 pcm</t>
        </is>
      </c>
      <c r="D114" t="inlineStr">
        <is>
          <t>monthly</t>
        </is>
      </c>
      <c r="E114" t="inlineStr">
        <is>
          <t>Flat</t>
        </is>
      </c>
      <c r="F114" t="n">
        <v>2</v>
      </c>
      <c r="G114" t="n">
        <v>1</v>
      </c>
      <c r="H114" t="inlineStr">
        <is>
          <t>Blyth Road, LONDON, E17</t>
        </is>
      </c>
      <c r="I114" t="inlineStr">
        <is>
          <t xml:space="preserve">Available in October, this well sized and well presented two bedroom ground floor flat is ideally located on the popular, tree-lined Blyth Road. Inside, the flat features one double bedroom, one smaller double bedroom, living room, three piece bathroom, kitchen and a shared rear garden. </t>
        </is>
      </c>
      <c r="J114" t="inlineStr">
        <is>
          <t>https://www.rightmove.co.uk/properties/167638409#/?channel=RES_LET</t>
        </is>
      </c>
      <c r="K114" t="inlineStr">
        <is>
          <t>/property-to-rent/contactBranch.html?propertyId=167638409</t>
        </is>
      </c>
      <c r="L114" t="inlineStr">
        <is>
          <t>Central Estate Agents, Walthamstow</t>
        </is>
      </c>
      <c r="M114" t="n">
        <v>6323</v>
      </c>
      <c r="N114" t="inlineStr">
        <is>
          <t>Added on 30/09/2025</t>
        </is>
      </c>
      <c r="O114" t="inlineStr">
        <is>
          <t>2025-09-30T22:40:30Z</t>
        </is>
      </c>
      <c r="Q114" t="inlineStr">
        <is>
          <t>E17</t>
        </is>
      </c>
      <c r="R114" t="inlineStr">
        <is>
          <t>2025-10-16T17:42:17.228236</t>
        </is>
      </c>
      <c r="S114" t="inlineStr">
        <is>
          <t>{'let available date': '31/10/2025', 'deposit': '£1,700', 'min. tenancy': 'Ask agent', 'let type': 'Long term', 'furnish type': 'Unfurnished', 'council tax': 'Ask agent'}</t>
        </is>
      </c>
      <c r="V114" t="b">
        <v>1</v>
      </c>
      <c r="X114" t="n">
        <v>14.24</v>
      </c>
      <c r="Y114" t="n">
        <v>55.8</v>
      </c>
      <c r="Z114">
        <f>IF(AND(ISNUMBER(B114), ISNUMBER(MIN(B$2:B$486)), ISNUMBER(MAX(B$2:B$486))), IF(MAX(B$2:B$486)=MIN(B$2:B$486), 50, ROUND((MAX(B$2:B$486)-B114)/(MAX(B$2:B$486)-MIN(B$2:B$486))*100, 2)), "")</f>
        <v/>
      </c>
      <c r="AA114">
        <f>IF(AND(ISNUMBER(X114), ISNUMBER(MIN(X$2:X$486)), ISNUMBER(MAX(X$2:X$486))), IF(MAX(X$2:X$486)=MIN(X$2:X$486), 50, ROUND((MAX(X$2:X$486)-X114)/(MAX(X$2:X$486)-MIN(X$2:X$486))*100, 2)), "")</f>
        <v/>
      </c>
      <c r="AB114">
        <f>IF(AND(ISNUMBER(U114), ISNUMBER(MIN(U$2:U$486)), ISNUMBER(MAX(U$2:U$486))), IF(MAX(U$2:U$486)=MIN(U$2:U$486), 50, ROUND((U114-MIN(U$2:U$486))/(MAX(U$2:U$486)-MIN(U$2:U$486))*100, 2)), "")</f>
        <v/>
      </c>
      <c r="AC114">
        <f>IF(AND(ISNUMBER(Z114), ISNUMBER(AA114), ISNUMBER(AB114)), ROUND((Z114+AA114+AB114)/3, 2), "")</f>
        <v/>
      </c>
    </row>
    <row r="115">
      <c r="A115" t="n">
        <v>87289278</v>
      </c>
      <c r="B115" t="n">
        <v>1700</v>
      </c>
      <c r="C115" t="inlineStr">
        <is>
          <t>£1,700 pcm</t>
        </is>
      </c>
      <c r="D115" t="inlineStr">
        <is>
          <t>monthly</t>
        </is>
      </c>
      <c r="E115" t="inlineStr">
        <is>
          <t>Flat</t>
        </is>
      </c>
      <c r="F115" t="n">
        <v>2</v>
      </c>
      <c r="G115" t="n">
        <v>2</v>
      </c>
      <c r="H115" t="inlineStr">
        <is>
          <t>Seaton Square, Mill Hill</t>
        </is>
      </c>
      <c r="I115" t="inlineStr">
        <is>
          <t>A well presented 2 bedroom, 2 bathroom (1 en-suite) apartment situated on the first floor of this modern purpose built block within the ever popular Lidbury Square development. The property features a 14ft reception room with Juliet balcony and benefits include built-in wardrobes to the master be...</t>
        </is>
      </c>
      <c r="J115" t="inlineStr">
        <is>
          <t>https://www.rightmove.co.uk/properties/87289278#/?channel=RES_LET</t>
        </is>
      </c>
      <c r="K115" t="inlineStr">
        <is>
          <t>/property-to-rent/contactBranch.html?propertyId=87289278</t>
        </is>
      </c>
      <c r="L115" t="inlineStr">
        <is>
          <t>Squires Estates, Mill Hill</t>
        </is>
      </c>
      <c r="M115" t="n">
        <v>46983</v>
      </c>
      <c r="N115" t="inlineStr">
        <is>
          <t>Added on 14/10/2025</t>
        </is>
      </c>
      <c r="O115" t="inlineStr">
        <is>
          <t>2025-10-14T10:01:56Z</t>
        </is>
      </c>
      <c r="R115" t="inlineStr">
        <is>
          <t>2025-10-16T17:42:17.228242</t>
        </is>
      </c>
      <c r="S115" t="inlineStr">
        <is>
          <t>{'let available date': 'Ask agent', 'deposit': '£1,961', 'min. tenancy': 'Ask agent', 'let type': 'Long term', 'furnish type': 'Furnished', 'council tax': 'Ask agent'}</t>
        </is>
      </c>
      <c r="V115" t="b">
        <v>1</v>
      </c>
      <c r="X115" t="n">
        <v>16.91</v>
      </c>
      <c r="Y115" t="n">
        <v>48.1</v>
      </c>
      <c r="Z115">
        <f>IF(AND(ISNUMBER(B115), ISNUMBER(MIN(B$2:B$486)), ISNUMBER(MAX(B$2:B$486))), IF(MAX(B$2:B$486)=MIN(B$2:B$486), 50, ROUND((MAX(B$2:B$486)-B115)/(MAX(B$2:B$486)-MIN(B$2:B$486))*100, 2)), "")</f>
        <v/>
      </c>
      <c r="AA115">
        <f>IF(AND(ISNUMBER(X115), ISNUMBER(MIN(X$2:X$486)), ISNUMBER(MAX(X$2:X$486))), IF(MAX(X$2:X$486)=MIN(X$2:X$486), 50, ROUND((MAX(X$2:X$486)-X115)/(MAX(X$2:X$486)-MIN(X$2:X$486))*100, 2)), "")</f>
        <v/>
      </c>
      <c r="AB115">
        <f>IF(AND(ISNUMBER(U115), ISNUMBER(MIN(U$2:U$486)), ISNUMBER(MAX(U$2:U$486))), IF(MAX(U$2:U$486)=MIN(U$2:U$486), 50, ROUND((U115-MIN(U$2:U$486))/(MAX(U$2:U$486)-MIN(U$2:U$486))*100, 2)), "")</f>
        <v/>
      </c>
      <c r="AC115">
        <f>IF(AND(ISNUMBER(Z115), ISNUMBER(AA115), ISNUMBER(AB115)), ROUND((Z115+AA115+AB115)/3, 2), "")</f>
        <v/>
      </c>
    </row>
    <row r="116">
      <c r="A116" t="n">
        <v>87288429</v>
      </c>
      <c r="B116" t="n">
        <v>1600</v>
      </c>
      <c r="C116" t="inlineStr">
        <is>
          <t>£1,600 pcm</t>
        </is>
      </c>
      <c r="D116" t="inlineStr">
        <is>
          <t>monthly</t>
        </is>
      </c>
      <c r="E116" t="inlineStr">
        <is>
          <t>Apartment</t>
        </is>
      </c>
      <c r="F116" t="n">
        <v>2</v>
      </c>
      <c r="G116" t="n">
        <v>1</v>
      </c>
      <c r="H116" t="inlineStr">
        <is>
          <t>Ingram Court, Wendy Close, Enfield, EN1</t>
        </is>
      </c>
      <c r="I116" t="inlineStr">
        <is>
          <t>Andrew Stevens are pleased to offer this very well presented two bedroom purpose built 2nd floor property situated within a stones throw away from Bush Hill Park Station. Benefits include a fully fitted kitchen, integrated dishwasher, fitted mirrored wardrobe, double glazed throughout, intercom s...</t>
        </is>
      </c>
      <c r="J116" t="inlineStr">
        <is>
          <t>https://www.rightmove.co.uk/properties/87288429#/?channel=RES_LET</t>
        </is>
      </c>
      <c r="K116" t="inlineStr">
        <is>
          <t>/property-to-rent/contactBranch.html?propertyId=87288429</t>
        </is>
      </c>
      <c r="L116" t="inlineStr">
        <is>
          <t>Andrew Stevens, Enfield</t>
        </is>
      </c>
      <c r="M116" t="n">
        <v>70962</v>
      </c>
      <c r="N116" t="inlineStr">
        <is>
          <t>Added on 14/10/2025</t>
        </is>
      </c>
      <c r="O116" t="inlineStr">
        <is>
          <t>2025-10-14T09:49:56Z</t>
        </is>
      </c>
      <c r="Q116" t="inlineStr">
        <is>
          <t>EN1</t>
        </is>
      </c>
      <c r="R116" t="inlineStr">
        <is>
          <t>2025-10-16T17:42:17.228247</t>
        </is>
      </c>
      <c r="S116" t="inlineStr">
        <is>
          <t>{'let available date': 'Now', 'deposit': '£1,600', 'min. tenancy': 'Ask agent', 'let type': 'Long term', 'furnish type': 'Unfurnished', 'council tax': 'Ask agent'}</t>
        </is>
      </c>
      <c r="V116" t="b">
        <v>1</v>
      </c>
      <c r="X116" t="n">
        <v>20.62</v>
      </c>
      <c r="Y116" t="n">
        <v>62.4</v>
      </c>
      <c r="Z116">
        <f>IF(AND(ISNUMBER(B116), ISNUMBER(MIN(B$2:B$486)), ISNUMBER(MAX(B$2:B$486))), IF(MAX(B$2:B$486)=MIN(B$2:B$486), 50, ROUND((MAX(B$2:B$486)-B116)/(MAX(B$2:B$486)-MIN(B$2:B$486))*100, 2)), "")</f>
        <v/>
      </c>
      <c r="AA116">
        <f>IF(AND(ISNUMBER(X116), ISNUMBER(MIN(X$2:X$486)), ISNUMBER(MAX(X$2:X$486))), IF(MAX(X$2:X$486)=MIN(X$2:X$486), 50, ROUND((MAX(X$2:X$486)-X116)/(MAX(X$2:X$486)-MIN(X$2:X$486))*100, 2)), "")</f>
        <v/>
      </c>
      <c r="AB116">
        <f>IF(AND(ISNUMBER(U116), ISNUMBER(MIN(U$2:U$486)), ISNUMBER(MAX(U$2:U$486))), IF(MAX(U$2:U$486)=MIN(U$2:U$486), 50, ROUND((U116-MIN(U$2:U$486))/(MAX(U$2:U$486)-MIN(U$2:U$486))*100, 2)), "")</f>
        <v/>
      </c>
      <c r="AC116">
        <f>IF(AND(ISNUMBER(Z116), ISNUMBER(AA116), ISNUMBER(AB116)), ROUND((Z116+AA116+AB116)/3, 2), "")</f>
        <v/>
      </c>
    </row>
    <row r="117">
      <c r="A117" t="n">
        <v>87286623</v>
      </c>
      <c r="B117" t="n">
        <v>1700</v>
      </c>
      <c r="C117" t="inlineStr">
        <is>
          <t>£1,700 pcm</t>
        </is>
      </c>
      <c r="D117" t="inlineStr">
        <is>
          <t>monthly</t>
        </is>
      </c>
      <c r="E117" t="inlineStr">
        <is>
          <t>Maisonette</t>
        </is>
      </c>
      <c r="F117" t="n">
        <v>2</v>
      </c>
      <c r="G117" t="n">
        <v>1</v>
      </c>
      <c r="H117" t="inlineStr">
        <is>
          <t>Courtlands Avenue, Lee</t>
        </is>
      </c>
      <c r="I117" t="inlineStr">
        <is>
          <t>A well-presented two double bedroom split-level maisonette offering bright and spacious accommodation throughout. The property features generously sized rooms and a private front entrance. Finished to a good standard, the home comprises a large reception room, a fitted kitchen, and two comfortabl...</t>
        </is>
      </c>
      <c r="J117" t="inlineStr">
        <is>
          <t>https://www.rightmove.co.uk/properties/87286623#/?channel=RES_LET</t>
        </is>
      </c>
      <c r="K117" t="inlineStr">
        <is>
          <t>/property-to-rent/contactBranch.html?propertyId=87286623</t>
        </is>
      </c>
      <c r="L117" t="inlineStr">
        <is>
          <t>Dexters, Lee</t>
        </is>
      </c>
      <c r="M117" t="n">
        <v>118048</v>
      </c>
      <c r="N117" t="inlineStr">
        <is>
          <t>Added on 14/10/2025</t>
        </is>
      </c>
      <c r="O117" t="inlineStr">
        <is>
          <t>2025-10-14T09:25:53Z</t>
        </is>
      </c>
      <c r="R117" t="inlineStr">
        <is>
          <t>2025-10-16T17:42:17.228253</t>
        </is>
      </c>
      <c r="S117" t="inlineStr">
        <is>
          <t>{'let available date': 'Ask agent', 'deposit': '£1,442', 'min. tenancy': 'Ask agent', 'let type': 'Long term', 'furnish type': 'Part furnished', 'council tax': 'Ask agent'}</t>
        </is>
      </c>
      <c r="V117" t="b">
        <v>1</v>
      </c>
      <c r="X117" t="n">
        <v>19.43</v>
      </c>
      <c r="Y117" t="n">
        <v>47.9</v>
      </c>
      <c r="Z117">
        <f>IF(AND(ISNUMBER(B117), ISNUMBER(MIN(B$2:B$486)), ISNUMBER(MAX(B$2:B$486))), IF(MAX(B$2:B$486)=MIN(B$2:B$486), 50, ROUND((MAX(B$2:B$486)-B117)/(MAX(B$2:B$486)-MIN(B$2:B$486))*100, 2)), "")</f>
        <v/>
      </c>
      <c r="AA117">
        <f>IF(AND(ISNUMBER(X117), ISNUMBER(MIN(X$2:X$486)), ISNUMBER(MAX(X$2:X$486))), IF(MAX(X$2:X$486)=MIN(X$2:X$486), 50, ROUND((MAX(X$2:X$486)-X117)/(MAX(X$2:X$486)-MIN(X$2:X$486))*100, 2)), "")</f>
        <v/>
      </c>
      <c r="AB117">
        <f>IF(AND(ISNUMBER(U117), ISNUMBER(MIN(U$2:U$486)), ISNUMBER(MAX(U$2:U$486))), IF(MAX(U$2:U$486)=MIN(U$2:U$486), 50, ROUND((U117-MIN(U$2:U$486))/(MAX(U$2:U$486)-MIN(U$2:U$486))*100, 2)), "")</f>
        <v/>
      </c>
      <c r="AC117">
        <f>IF(AND(ISNUMBER(Z117), ISNUMBER(AA117), ISNUMBER(AB117)), ROUND((Z117+AA117+AB117)/3, 2), "")</f>
        <v/>
      </c>
    </row>
    <row r="118">
      <c r="A118" t="n">
        <v>87286047</v>
      </c>
      <c r="B118" t="n">
        <v>1600</v>
      </c>
      <c r="C118" t="inlineStr">
        <is>
          <t>£1,600 pcm</t>
        </is>
      </c>
      <c r="D118" t="inlineStr">
        <is>
          <t>monthly</t>
        </is>
      </c>
      <c r="E118" t="inlineStr">
        <is>
          <t>Maisonette</t>
        </is>
      </c>
      <c r="F118" t="n">
        <v>2</v>
      </c>
      <c r="G118" t="n">
        <v>1</v>
      </c>
      <c r="H118" t="inlineStr">
        <is>
          <t>Sportsbank Street London SE6</t>
        </is>
      </c>
      <c r="I118" t="inlineStr">
        <is>
          <t>Available Now! This ground floor maisonette is available unfurnished with the addition of a second bedroom or office space off of the main bedroom. The property benefits from a private rear garden too. EPC Rating C</t>
        </is>
      </c>
      <c r="J118" t="inlineStr">
        <is>
          <t>https://www.rightmove.co.uk/properties/87286047#/?channel=RES_LET</t>
        </is>
      </c>
      <c r="K118" t="inlineStr">
        <is>
          <t>/property-to-rent/contactBranch.html?propertyId=87286047</t>
        </is>
      </c>
      <c r="L118" t="inlineStr">
        <is>
          <t>Acorn, Catford</t>
        </is>
      </c>
      <c r="M118" t="n">
        <v>50665</v>
      </c>
      <c r="N118" t="inlineStr">
        <is>
          <t>Added on 14/10/2025</t>
        </is>
      </c>
      <c r="O118" t="inlineStr">
        <is>
          <t>2025-10-14T09:17:34Z</t>
        </is>
      </c>
      <c r="Q118" t="inlineStr">
        <is>
          <t>SE6</t>
        </is>
      </c>
      <c r="R118" t="inlineStr">
        <is>
          <t>2025-10-16T17:42:17.228258</t>
        </is>
      </c>
      <c r="S118" t="inlineStr">
        <is>
          <t>{'let available date': 'Now', 'deposit': '£1,846', 'min. tenancy': '12 months', 'let type': 'Long term', 'furnish type': 'Part furnished', 'council tax': 'Ask agent'}</t>
        </is>
      </c>
      <c r="V118" t="b">
        <v>1</v>
      </c>
      <c r="X118" t="n">
        <v>14.74</v>
      </c>
      <c r="Y118" t="n">
        <v>50.4</v>
      </c>
      <c r="Z118">
        <f>IF(AND(ISNUMBER(B118), ISNUMBER(MIN(B$2:B$486)), ISNUMBER(MAX(B$2:B$486))), IF(MAX(B$2:B$486)=MIN(B$2:B$486), 50, ROUND((MAX(B$2:B$486)-B118)/(MAX(B$2:B$486)-MIN(B$2:B$486))*100, 2)), "")</f>
        <v/>
      </c>
      <c r="AA118">
        <f>IF(AND(ISNUMBER(X118), ISNUMBER(MIN(X$2:X$486)), ISNUMBER(MAX(X$2:X$486))), IF(MAX(X$2:X$486)=MIN(X$2:X$486), 50, ROUND((MAX(X$2:X$486)-X118)/(MAX(X$2:X$486)-MIN(X$2:X$486))*100, 2)), "")</f>
        <v/>
      </c>
      <c r="AB118">
        <f>IF(AND(ISNUMBER(U118), ISNUMBER(MIN(U$2:U$486)), ISNUMBER(MAX(U$2:U$486))), IF(MAX(U$2:U$486)=MIN(U$2:U$486), 50, ROUND((U118-MIN(U$2:U$486))/(MAX(U$2:U$486)-MIN(U$2:U$486))*100, 2)), "")</f>
        <v/>
      </c>
      <c r="AC118">
        <f>IF(AND(ISNUMBER(Z118), ISNUMBER(AA118), ISNUMBER(AB118)), ROUND((Z118+AA118+AB118)/3, 2), "")</f>
        <v/>
      </c>
    </row>
    <row r="119">
      <c r="A119" t="n">
        <v>168173366</v>
      </c>
      <c r="B119" t="n">
        <v>1750</v>
      </c>
      <c r="C119" t="inlineStr">
        <is>
          <t>£1,750 pcm</t>
        </is>
      </c>
      <c r="D119" t="inlineStr">
        <is>
          <t>monthly</t>
        </is>
      </c>
      <c r="E119" t="inlineStr">
        <is>
          <t>Flat</t>
        </is>
      </c>
      <c r="F119" t="n">
        <v>2</v>
      </c>
      <c r="G119" t="n">
        <v>1</v>
      </c>
      <c r="H119" t="inlineStr">
        <is>
          <t>Crystal Palace Parade, London, SE19</t>
        </is>
      </c>
      <c r="I119" t="inlineStr">
        <is>
          <t>This Stunning two bedroom purpose built apartment with private terrace to rent in Crystal Palace is available to move into in November. Pay less upfront with Zero Deposit Guarantee*</t>
        </is>
      </c>
      <c r="J119" t="inlineStr">
        <is>
          <t>https://www.rightmove.co.uk/properties/168173366#/?channel=RES_LET</t>
        </is>
      </c>
      <c r="K119" t="inlineStr">
        <is>
          <t>/property-to-rent/contactBranch.html?propertyId=168173366</t>
        </is>
      </c>
      <c r="L119" t="inlineStr">
        <is>
          <t>Kinleigh Folkard &amp; Hayward - Lettings, Crystal Palace</t>
        </is>
      </c>
      <c r="M119" t="n">
        <v>85706</v>
      </c>
      <c r="N119" t="inlineStr">
        <is>
          <t>Reduced on 14/10/2025</t>
        </is>
      </c>
      <c r="O119" t="inlineStr">
        <is>
          <t>2025-10-13T17:26:15Z</t>
        </is>
      </c>
      <c r="Q119" t="inlineStr">
        <is>
          <t>SE19</t>
        </is>
      </c>
      <c r="R119" t="inlineStr">
        <is>
          <t>2025-10-16T17:42:17.228263</t>
        </is>
      </c>
      <c r="S119" t="inlineStr">
        <is>
          <t>{'let available date': '14/11/2025', 'deposit': '£0', 'min. tenancy': '12 months', 'let type': 'Long term', 'furnish type': 'Unfurnished', 'council tax': 'Ask agent'}</t>
        </is>
      </c>
      <c r="T119" t="n">
        <v>56</v>
      </c>
      <c r="U119" t="n">
        <v>5</v>
      </c>
      <c r="V119" t="b">
        <v>1</v>
      </c>
      <c r="X119" t="n">
        <v>14</v>
      </c>
      <c r="Y119" t="n">
        <v>46.6</v>
      </c>
      <c r="Z119">
        <f>IF(AND(ISNUMBER(B119), ISNUMBER(MIN(B$2:B$486)), ISNUMBER(MAX(B$2:B$486))), IF(MAX(B$2:B$486)=MIN(B$2:B$486), 50, ROUND((MAX(B$2:B$486)-B119)/(MAX(B$2:B$486)-MIN(B$2:B$486))*100, 2)), "")</f>
        <v/>
      </c>
      <c r="AA119">
        <f>IF(AND(ISNUMBER(X119), ISNUMBER(MIN(X$2:X$486)), ISNUMBER(MAX(X$2:X$486))), IF(MAX(X$2:X$486)=MIN(X$2:X$486), 50, ROUND((MAX(X$2:X$486)-X119)/(MAX(X$2:X$486)-MIN(X$2:X$486))*100, 2)), "")</f>
        <v/>
      </c>
      <c r="AB119">
        <f>IF(AND(ISNUMBER(U119), ISNUMBER(MIN(U$2:U$486)), ISNUMBER(MAX(U$2:U$486))), IF(MAX(U$2:U$486)=MIN(U$2:U$486), 50, ROUND((U119-MIN(U$2:U$486))/(MAX(U$2:U$486)-MIN(U$2:U$486))*100, 2)), "")</f>
        <v/>
      </c>
      <c r="AC119">
        <f>IF(AND(ISNUMBER(Z119), ISNUMBER(AA119), ISNUMBER(AB119)), ROUND((Z119+AA119+AB119)/3, 2), "")</f>
        <v/>
      </c>
    </row>
    <row r="120">
      <c r="A120" t="n">
        <v>87285570</v>
      </c>
      <c r="B120" t="n">
        <v>1600</v>
      </c>
      <c r="C120" t="inlineStr">
        <is>
          <t>£1,600 pcm</t>
        </is>
      </c>
      <c r="D120" t="inlineStr">
        <is>
          <t>monthly</t>
        </is>
      </c>
      <c r="E120" t="inlineStr">
        <is>
          <t>Flat</t>
        </is>
      </c>
      <c r="F120" t="n">
        <v>2</v>
      </c>
      <c r="G120" t="n">
        <v>1</v>
      </c>
      <c r="H120" t="inlineStr">
        <is>
          <t>New River Court, Southbury Road, Enfield</t>
        </is>
      </c>
      <c r="I120" t="inlineStr">
        <is>
          <t>AVAILABLE NOW! Located in the heart of Enfield Town, New River Court is positioned in prime location offering a spacious two double bedroom, first-floor apartment. The property benefits from excellent transport links with the A10, M25, and A406 road networks all easily accessible. It is also a st...</t>
        </is>
      </c>
      <c r="J120" t="inlineStr">
        <is>
          <t>https://www.rightmove.co.uk/properties/87285570#/?channel=RES_LET</t>
        </is>
      </c>
      <c r="K120" t="inlineStr">
        <is>
          <t>/property-to-rent/contactBranch.html?propertyId=87285570</t>
        </is>
      </c>
      <c r="L120" t="inlineStr">
        <is>
          <t>Lanes, Cheshunt - Lettings</t>
        </is>
      </c>
      <c r="M120" t="n">
        <v>166127</v>
      </c>
      <c r="N120" t="inlineStr">
        <is>
          <t>Added on 14/10/2025</t>
        </is>
      </c>
      <c r="O120" t="inlineStr">
        <is>
          <t>2025-10-14T09:06:47Z</t>
        </is>
      </c>
      <c r="R120" t="inlineStr">
        <is>
          <t>2025-10-16T17:42:17.228269</t>
        </is>
      </c>
      <c r="S120" t="inlineStr">
        <is>
          <t>{'let available date': '24/10/2025', 'deposit': '£1,846', 'min. tenancy': 'Ask agent', 'let type': 'Long term', 'furnish type': 'Unfurnished', 'council tax': 'Ask agent'}</t>
        </is>
      </c>
      <c r="V120" t="b">
        <v>1</v>
      </c>
      <c r="X120" t="n">
        <v>19.88</v>
      </c>
      <c r="Y120" t="n">
        <v>59.1</v>
      </c>
      <c r="Z120">
        <f>IF(AND(ISNUMBER(B120), ISNUMBER(MIN(B$2:B$486)), ISNUMBER(MAX(B$2:B$486))), IF(MAX(B$2:B$486)=MIN(B$2:B$486), 50, ROUND((MAX(B$2:B$486)-B120)/(MAX(B$2:B$486)-MIN(B$2:B$486))*100, 2)), "")</f>
        <v/>
      </c>
      <c r="AA120">
        <f>IF(AND(ISNUMBER(X120), ISNUMBER(MIN(X$2:X$486)), ISNUMBER(MAX(X$2:X$486))), IF(MAX(X$2:X$486)=MIN(X$2:X$486), 50, ROUND((MAX(X$2:X$486)-X120)/(MAX(X$2:X$486)-MIN(X$2:X$486))*100, 2)), "")</f>
        <v/>
      </c>
      <c r="AB120">
        <f>IF(AND(ISNUMBER(U120), ISNUMBER(MIN(U$2:U$486)), ISNUMBER(MAX(U$2:U$486))), IF(MAX(U$2:U$486)=MIN(U$2:U$486), 50, ROUND((U120-MIN(U$2:U$486))/(MAX(U$2:U$486)-MIN(U$2:U$486))*100, 2)), "")</f>
        <v/>
      </c>
      <c r="AC120">
        <f>IF(AND(ISNUMBER(Z120), ISNUMBER(AA120), ISNUMBER(AB120)), ROUND((Z120+AA120+AB120)/3, 2), "")</f>
        <v/>
      </c>
    </row>
    <row r="121">
      <c r="A121" t="n">
        <v>168179801</v>
      </c>
      <c r="B121" t="n">
        <v>1750</v>
      </c>
      <c r="C121" t="inlineStr">
        <is>
          <t>£1,750 pcm</t>
        </is>
      </c>
      <c r="D121" t="inlineStr">
        <is>
          <t>monthly</t>
        </is>
      </c>
      <c r="E121" t="inlineStr">
        <is>
          <t>Apartment</t>
        </is>
      </c>
      <c r="F121" t="n">
        <v>2</v>
      </c>
      <c r="G121" t="n">
        <v>1</v>
      </c>
      <c r="H121" t="inlineStr">
        <is>
          <t>Rectory Road, Manor Park, London, E12</t>
        </is>
      </c>
      <c r="I121" t="inlineStr">
        <is>
          <t>This Bright And Spacious Two Bedroom Ground Floor Flat With A Private Garden Is Available To Rent In Manor Park.</t>
        </is>
      </c>
      <c r="J121" t="inlineStr">
        <is>
          <t>https://www.rightmove.co.uk/properties/168179801#/?channel=RES_LET</t>
        </is>
      </c>
      <c r="K121" t="inlineStr">
        <is>
          <t>/property-to-rent/contactBranch.html?propertyId=168179801</t>
        </is>
      </c>
      <c r="L121" t="inlineStr">
        <is>
          <t>April, London</t>
        </is>
      </c>
      <c r="M121" t="n">
        <v>75126</v>
      </c>
      <c r="N121" t="inlineStr">
        <is>
          <t>Added on 14/10/2025</t>
        </is>
      </c>
      <c r="O121" t="inlineStr">
        <is>
          <t>2025-10-14T00:20:11Z</t>
        </is>
      </c>
      <c r="Q121" t="inlineStr">
        <is>
          <t>E12</t>
        </is>
      </c>
      <c r="R121" t="inlineStr">
        <is>
          <t>2025-10-16T17:42:17.228275</t>
        </is>
      </c>
      <c r="S121" t="inlineStr">
        <is>
          <t>{'let available date': 'Ask agent', 'deposit': '£1,615', 'min. tenancy': 'Ask agent', 'let type': 'Long term', 'furnish type': 'Part furnished', 'council tax': 'Ask agent'}</t>
        </is>
      </c>
      <c r="V121" t="b">
        <v>1</v>
      </c>
      <c r="X121" t="n">
        <v>20.97</v>
      </c>
      <c r="Y121" t="n">
        <v>48.9</v>
      </c>
      <c r="Z121">
        <f>IF(AND(ISNUMBER(B121), ISNUMBER(MIN(B$2:B$486)), ISNUMBER(MAX(B$2:B$486))), IF(MAX(B$2:B$486)=MIN(B$2:B$486), 50, ROUND((MAX(B$2:B$486)-B121)/(MAX(B$2:B$486)-MIN(B$2:B$486))*100, 2)), "")</f>
        <v/>
      </c>
      <c r="AA121">
        <f>IF(AND(ISNUMBER(X121), ISNUMBER(MIN(X$2:X$486)), ISNUMBER(MAX(X$2:X$486))), IF(MAX(X$2:X$486)=MIN(X$2:X$486), 50, ROUND((MAX(X$2:X$486)-X121)/(MAX(X$2:X$486)-MIN(X$2:X$486))*100, 2)), "")</f>
        <v/>
      </c>
      <c r="AB121">
        <f>IF(AND(ISNUMBER(U121), ISNUMBER(MIN(U$2:U$486)), ISNUMBER(MAX(U$2:U$486))), IF(MAX(U$2:U$486)=MIN(U$2:U$486), 50, ROUND((U121-MIN(U$2:U$486))/(MAX(U$2:U$486)-MIN(U$2:U$486))*100, 2)), "")</f>
        <v/>
      </c>
      <c r="AC121">
        <f>IF(AND(ISNUMBER(Z121), ISNUMBER(AA121), ISNUMBER(AB121)), ROUND((Z121+AA121+AB121)/3, 2), "")</f>
        <v/>
      </c>
    </row>
    <row r="122">
      <c r="A122" t="n">
        <v>167477591</v>
      </c>
      <c r="B122" t="n">
        <v>1650</v>
      </c>
      <c r="C122" t="inlineStr">
        <is>
          <t>£1,650 pcm</t>
        </is>
      </c>
      <c r="D122" t="inlineStr">
        <is>
          <t>monthly</t>
        </is>
      </c>
      <c r="E122" t="inlineStr">
        <is>
          <t>Maisonette</t>
        </is>
      </c>
      <c r="F122" t="n">
        <v>2</v>
      </c>
      <c r="G122" t="n">
        <v>1</v>
      </c>
      <c r="H122" t="inlineStr">
        <is>
          <t>Durban Road, West Norwood, London, SE27</t>
        </is>
      </c>
      <c r="I122" t="inlineStr">
        <is>
          <t>A well presented two bedroom ground floor Victorian maisonette. Further accommodation comprises; reception room, kitchen/breakfast room, bathroom and private rear garden. Located on a popular road close to West Norwood station, with its frequent services to London Bridge and Victoria. Amenities o...</t>
        </is>
      </c>
      <c r="J122" t="inlineStr">
        <is>
          <t>https://www.rightmove.co.uk/properties/167477591#/?channel=RES_LET</t>
        </is>
      </c>
      <c r="K122" t="inlineStr">
        <is>
          <t>/property-to-rent/contactBranch.html?propertyId=167477591</t>
        </is>
      </c>
      <c r="L122" t="inlineStr">
        <is>
          <t>Winkworth, West Norwood</t>
        </is>
      </c>
      <c r="M122" t="n">
        <v>53226</v>
      </c>
      <c r="N122" t="inlineStr">
        <is>
          <t>Reduced on 14/10/2025</t>
        </is>
      </c>
      <c r="O122" t="inlineStr">
        <is>
          <t>2025-09-26T13:25:51Z</t>
        </is>
      </c>
      <c r="Q122" t="inlineStr">
        <is>
          <t>SE27</t>
        </is>
      </c>
      <c r="R122" t="inlineStr">
        <is>
          <t>2025-10-16T17:42:17.228298</t>
        </is>
      </c>
      <c r="S122" t="inlineStr">
        <is>
          <t>{'let available date': 'Now', 'deposit': '£0', 'min. tenancy': 'Ask agent', 'let type': 'Long term', 'furnish type': 'Part furnished', 'council tax': 'Ask agent'}</t>
        </is>
      </c>
      <c r="V122" t="b">
        <v>1</v>
      </c>
      <c r="X122" t="n">
        <v>11.39</v>
      </c>
      <c r="Y122" t="n">
        <v>43</v>
      </c>
      <c r="Z122">
        <f>IF(AND(ISNUMBER(B122), ISNUMBER(MIN(B$2:B$486)), ISNUMBER(MAX(B$2:B$486))), IF(MAX(B$2:B$486)=MIN(B$2:B$486), 50, ROUND((MAX(B$2:B$486)-B122)/(MAX(B$2:B$486)-MIN(B$2:B$486))*100, 2)), "")</f>
        <v/>
      </c>
      <c r="AA122">
        <f>IF(AND(ISNUMBER(X122), ISNUMBER(MIN(X$2:X$486)), ISNUMBER(MAX(X$2:X$486))), IF(MAX(X$2:X$486)=MIN(X$2:X$486), 50, ROUND((MAX(X$2:X$486)-X122)/(MAX(X$2:X$486)-MIN(X$2:X$486))*100, 2)), "")</f>
        <v/>
      </c>
      <c r="AB122">
        <f>IF(AND(ISNUMBER(U122), ISNUMBER(MIN(U$2:U$486)), ISNUMBER(MAX(U$2:U$486))), IF(MAX(U$2:U$486)=MIN(U$2:U$486), 50, ROUND((U122-MIN(U$2:U$486))/(MAX(U$2:U$486)-MIN(U$2:U$486))*100, 2)), "")</f>
        <v/>
      </c>
      <c r="AC122">
        <f>IF(AND(ISNUMBER(Z122), ISNUMBER(AA122), ISNUMBER(AB122)), ROUND((Z122+AA122+AB122)/3, 2), "")</f>
        <v/>
      </c>
    </row>
    <row r="123">
      <c r="A123" t="n">
        <v>167612624</v>
      </c>
      <c r="B123" t="n">
        <v>1749</v>
      </c>
      <c r="C123" t="inlineStr">
        <is>
          <t>£1,749 pcm</t>
        </is>
      </c>
      <c r="D123" t="inlineStr">
        <is>
          <t>monthly</t>
        </is>
      </c>
      <c r="E123" t="inlineStr">
        <is>
          <t>Apartment</t>
        </is>
      </c>
      <c r="F123" t="n">
        <v>2</v>
      </c>
      <c r="G123" t="n">
        <v>2</v>
      </c>
      <c r="H123" t="inlineStr">
        <is>
          <t>Kings Road, Willesden, London, NW10</t>
        </is>
      </c>
      <c r="I123" t="inlineStr">
        <is>
          <t xml:space="preserve"> Presenting a large and lovely two double bedroom flat with separate large living room situated in a residential area of Willesden Green. The property features two kitchens, one is separate &amp; the other kitchen is open plan with living room, it has two large double bedrooms a...</t>
        </is>
      </c>
      <c r="J123" t="inlineStr">
        <is>
          <t>https://www.rightmove.co.uk/properties/167612624#/?channel=RES_LET</t>
        </is>
      </c>
      <c r="K123" t="inlineStr">
        <is>
          <t>/property-to-rent/contactBranch.html?propertyId=167612624</t>
        </is>
      </c>
      <c r="L123" t="inlineStr">
        <is>
          <t>Harsun &amp; Co, North West London</t>
        </is>
      </c>
      <c r="M123" t="n">
        <v>269546</v>
      </c>
      <c r="N123" t="inlineStr">
        <is>
          <t>Reduced on 13/10/2025</t>
        </is>
      </c>
      <c r="O123" t="inlineStr">
        <is>
          <t>2025-09-30T13:45:50Z</t>
        </is>
      </c>
      <c r="Q123" t="inlineStr">
        <is>
          <t>NW10</t>
        </is>
      </c>
      <c r="R123" t="inlineStr">
        <is>
          <t>2025-10-16T17:42:17.228305</t>
        </is>
      </c>
      <c r="S123" t="inlineStr">
        <is>
          <t>{'let available date': 'Ask agent', 'deposit': '£2,018', 'min. tenancy': '12 months', 'let type': 'Long term', 'furnish type': 'Ask agent', 'council tax': 'Ask agent'}</t>
        </is>
      </c>
      <c r="V123" t="b">
        <v>1</v>
      </c>
      <c r="X123" t="n">
        <v>12.4</v>
      </c>
      <c r="Y123" t="n">
        <v>41.1</v>
      </c>
      <c r="Z123">
        <f>IF(AND(ISNUMBER(B123), ISNUMBER(MIN(B$2:B$486)), ISNUMBER(MAX(B$2:B$486))), IF(MAX(B$2:B$486)=MIN(B$2:B$486), 50, ROUND((MAX(B$2:B$486)-B123)/(MAX(B$2:B$486)-MIN(B$2:B$486))*100, 2)), "")</f>
        <v/>
      </c>
      <c r="AA123">
        <f>IF(AND(ISNUMBER(X123), ISNUMBER(MIN(X$2:X$486)), ISNUMBER(MAX(X$2:X$486))), IF(MAX(X$2:X$486)=MIN(X$2:X$486), 50, ROUND((MAX(X$2:X$486)-X123)/(MAX(X$2:X$486)-MIN(X$2:X$486))*100, 2)), "")</f>
        <v/>
      </c>
      <c r="AB123">
        <f>IF(AND(ISNUMBER(U123), ISNUMBER(MIN(U$2:U$486)), ISNUMBER(MAX(U$2:U$486))), IF(MAX(U$2:U$486)=MIN(U$2:U$486), 50, ROUND((U123-MIN(U$2:U$486))/(MAX(U$2:U$486)-MIN(U$2:U$486))*100, 2)), "")</f>
        <v/>
      </c>
      <c r="AC123">
        <f>IF(AND(ISNUMBER(Z123), ISNUMBER(AA123), ISNUMBER(AB123)), ROUND((Z123+AA123+AB123)/3, 2), "")</f>
        <v/>
      </c>
    </row>
    <row r="124">
      <c r="A124" t="n">
        <v>168176471</v>
      </c>
      <c r="B124" t="n">
        <v>1750</v>
      </c>
      <c r="C124" t="inlineStr">
        <is>
          <t>£1,750 pcm</t>
        </is>
      </c>
      <c r="D124" t="inlineStr">
        <is>
          <t>monthly</t>
        </is>
      </c>
      <c r="E124" t="inlineStr">
        <is>
          <t>Apartment</t>
        </is>
      </c>
      <c r="F124" t="n">
        <v>2</v>
      </c>
      <c r="G124" t="n">
        <v>1</v>
      </c>
      <c r="H124" t="inlineStr">
        <is>
          <t>North Cheam, KT4</t>
        </is>
      </c>
      <c r="I124" t="inlineStr">
        <is>
          <t>£1650 PCM - £1750 PCM. DEVELOPMENT OF 6 LUXURY 2 bedroom apartments, with own SOUTH FACING PRIVATE ROOF TERRACE. Nearing completion - taking reservations now. Located above commercial premises, near the North Cheam crossroads, local shops, restaurants &amp; amenities. Side security gate...</t>
        </is>
      </c>
      <c r="J124" t="inlineStr">
        <is>
          <t>https://www.rightmove.co.uk/properties/168176471#/?channel=RES_LET</t>
        </is>
      </c>
      <c r="K124" t="inlineStr">
        <is>
          <t>/property-to-rent/contactBranch.html?propertyId=168176471</t>
        </is>
      </c>
      <c r="L124" t="inlineStr">
        <is>
          <t>Martin &amp; Co, Sutton</t>
        </is>
      </c>
      <c r="M124" t="n">
        <v>80767</v>
      </c>
      <c r="N124" t="inlineStr">
        <is>
          <t>Added on 13/10/2025</t>
        </is>
      </c>
      <c r="O124" t="inlineStr">
        <is>
          <t>2025-10-13T18:53:24Z</t>
        </is>
      </c>
      <c r="Q124" t="inlineStr">
        <is>
          <t>KT4</t>
        </is>
      </c>
      <c r="R124" t="inlineStr">
        <is>
          <t>2025-10-16T17:42:17.228310</t>
        </is>
      </c>
      <c r="S124" t="inlineStr">
        <is>
          <t>{'let available date': '25/10/2025', 'deposit': '£2,019', 'min. tenancy': 'Ask agent', 'let type': 'Long term', 'furnish type': 'Unfurnished', 'council tax': 'Ask agent'}</t>
        </is>
      </c>
      <c r="V124" t="b">
        <v>1</v>
      </c>
      <c r="X124" t="n">
        <v>23.23</v>
      </c>
      <c r="Y124" t="n">
        <v>61.1</v>
      </c>
      <c r="Z124">
        <f>IF(AND(ISNUMBER(B124), ISNUMBER(MIN(B$2:B$486)), ISNUMBER(MAX(B$2:B$486))), IF(MAX(B$2:B$486)=MIN(B$2:B$486), 50, ROUND((MAX(B$2:B$486)-B124)/(MAX(B$2:B$486)-MIN(B$2:B$486))*100, 2)), "")</f>
        <v/>
      </c>
      <c r="AA124">
        <f>IF(AND(ISNUMBER(X124), ISNUMBER(MIN(X$2:X$486)), ISNUMBER(MAX(X$2:X$486))), IF(MAX(X$2:X$486)=MIN(X$2:X$486), 50, ROUND((MAX(X$2:X$486)-X124)/(MAX(X$2:X$486)-MIN(X$2:X$486))*100, 2)), "")</f>
        <v/>
      </c>
      <c r="AB124">
        <f>IF(AND(ISNUMBER(U124), ISNUMBER(MIN(U$2:U$486)), ISNUMBER(MAX(U$2:U$486))), IF(MAX(U$2:U$486)=MIN(U$2:U$486), 50, ROUND((U124-MIN(U$2:U$486))/(MAX(U$2:U$486)-MIN(U$2:U$486))*100, 2)), "")</f>
        <v/>
      </c>
      <c r="AC124">
        <f>IF(AND(ISNUMBER(Z124), ISNUMBER(AA124), ISNUMBER(AB124)), ROUND((Z124+AA124+AB124)/3, 2), "")</f>
        <v/>
      </c>
    </row>
    <row r="125">
      <c r="A125" t="n">
        <v>168175751</v>
      </c>
      <c r="B125" t="n">
        <v>1475</v>
      </c>
      <c r="C125" t="inlineStr">
        <is>
          <t>£1,475 pcm</t>
        </is>
      </c>
      <c r="D125" t="inlineStr">
        <is>
          <t>monthly</t>
        </is>
      </c>
      <c r="E125" t="inlineStr">
        <is>
          <t>Flat</t>
        </is>
      </c>
      <c r="F125" t="n">
        <v>2</v>
      </c>
      <c r="G125" t="n">
        <v>1</v>
      </c>
      <c r="H125" t="inlineStr">
        <is>
          <t>Roehampton High Street, London, SW15</t>
        </is>
      </c>
      <c r="I125" t="inlineStr">
        <is>
          <t>2 Bedroom flat, close to amenities and transport links. Washing machine, electric hob and fridge freezer, part furnished. Above retail premise, shared entrance with one other flat. Now availa... ** Property Reference: 1868300 **</t>
        </is>
      </c>
      <c r="J125" t="inlineStr">
        <is>
          <t>https://www.rightmove.co.uk/properties/168175751#/?channel=RES_LET</t>
        </is>
      </c>
      <c r="K125" t="inlineStr">
        <is>
          <t>/property-to-rent/contactBranch.html?propertyId=168175751</t>
        </is>
      </c>
      <c r="L125" t="inlineStr">
        <is>
          <t>OpenRent, London</t>
        </is>
      </c>
      <c r="M125" t="n">
        <v>96668</v>
      </c>
      <c r="N125" t="inlineStr">
        <is>
          <t>Reduced on 13/10/2025</t>
        </is>
      </c>
      <c r="O125" t="inlineStr">
        <is>
          <t>2025-10-13T18:26:03Z</t>
        </is>
      </c>
      <c r="Q125" t="inlineStr">
        <is>
          <t>SW15</t>
        </is>
      </c>
      <c r="R125" t="inlineStr">
        <is>
          <t>2025-10-16T17:42:17.228315</t>
        </is>
      </c>
      <c r="S125" t="inlineStr">
        <is>
          <t>{'let available date': 'Now', 'deposit': '£1,475', 'min. tenancy': 'Ask agent', 'let type': 'Long term', 'furnish type': 'Furnished', 'council tax': 'Ask agent'}</t>
        </is>
      </c>
      <c r="V125" t="b">
        <v>1</v>
      </c>
      <c r="X125" t="n">
        <v>10.66</v>
      </c>
      <c r="Y125" t="n">
        <v>44.5</v>
      </c>
      <c r="Z125">
        <f>IF(AND(ISNUMBER(B125), ISNUMBER(MIN(B$2:B$486)), ISNUMBER(MAX(B$2:B$486))), IF(MAX(B$2:B$486)=MIN(B$2:B$486), 50, ROUND((MAX(B$2:B$486)-B125)/(MAX(B$2:B$486)-MIN(B$2:B$486))*100, 2)), "")</f>
        <v/>
      </c>
      <c r="AA125">
        <f>IF(AND(ISNUMBER(X125), ISNUMBER(MIN(X$2:X$486)), ISNUMBER(MAX(X$2:X$486))), IF(MAX(X$2:X$486)=MIN(X$2:X$486), 50, ROUND((MAX(X$2:X$486)-X125)/(MAX(X$2:X$486)-MIN(X$2:X$486))*100, 2)), "")</f>
        <v/>
      </c>
      <c r="AB125">
        <f>IF(AND(ISNUMBER(U125), ISNUMBER(MIN(U$2:U$486)), ISNUMBER(MAX(U$2:U$486))), IF(MAX(U$2:U$486)=MIN(U$2:U$486), 50, ROUND((U125-MIN(U$2:U$486))/(MAX(U$2:U$486)-MIN(U$2:U$486))*100, 2)), "")</f>
        <v/>
      </c>
      <c r="AC125">
        <f>IF(AND(ISNUMBER(Z125), ISNUMBER(AA125), ISNUMBER(AB125)), ROUND((Z125+AA125+AB125)/3, 2), "")</f>
        <v/>
      </c>
    </row>
    <row r="126">
      <c r="A126" t="n">
        <v>166713437</v>
      </c>
      <c r="B126" t="n">
        <v>1750</v>
      </c>
      <c r="C126" t="inlineStr">
        <is>
          <t>£1,750 pcm</t>
        </is>
      </c>
      <c r="D126" t="inlineStr">
        <is>
          <t>monthly</t>
        </is>
      </c>
      <c r="E126" t="inlineStr">
        <is>
          <t>Flat</t>
        </is>
      </c>
      <c r="F126" t="n">
        <v>2</v>
      </c>
      <c r="G126" t="n">
        <v>1</v>
      </c>
      <c r="H126" t="inlineStr">
        <is>
          <t>Burghley Road, Leytonstone</t>
        </is>
      </c>
      <c r="I126" t="inlineStr">
        <is>
          <t>*TO RENT* Spacious TWO DOUBLE BEDROOM First Floor Flat just a few minutes walk to Leytonstone Central Line Station. Separate Fitted Kitchen, Bathroom &amp; Good Size Lounge. Leytonstone High Road &amp; Church Lane with its popular Shops, Bars Cafes &amp; Pubs. Double Glazing, Gas Central Heating. Available Now.</t>
        </is>
      </c>
      <c r="J126" t="inlineStr">
        <is>
          <t>https://www.rightmove.co.uk/properties/166713437#/?channel=RES_LET</t>
        </is>
      </c>
      <c r="K126" t="inlineStr">
        <is>
          <t>/property-to-rent/contactBranch.html?propertyId=166713437</t>
        </is>
      </c>
      <c r="L126" t="inlineStr">
        <is>
          <t>Allen Davies &amp; Co, Leyton</t>
        </is>
      </c>
      <c r="M126" t="n">
        <v>6944</v>
      </c>
      <c r="N126" t="inlineStr">
        <is>
          <t>Added on 08/09/2025</t>
        </is>
      </c>
      <c r="O126" t="inlineStr">
        <is>
          <t>2025-09-08T11:45:05Z</t>
        </is>
      </c>
      <c r="R126" t="inlineStr">
        <is>
          <t>2025-10-16T17:42:18.770958</t>
        </is>
      </c>
      <c r="S126" t="inlineStr">
        <is>
          <t>{'let available date': 'Now', 'deposit': '£2,019', 'min. tenancy': 'Ask agent', 'let type': 'Long term', 'furnish type': 'Unfurnished', 'council tax': 'Ask agent'}</t>
        </is>
      </c>
      <c r="T126" t="n">
        <v>646</v>
      </c>
      <c r="U126" t="n">
        <v>60</v>
      </c>
      <c r="V126" t="b">
        <v>1</v>
      </c>
      <c r="X126" t="n">
        <v>14.3</v>
      </c>
      <c r="Y126" t="n">
        <v>49.4</v>
      </c>
      <c r="Z126">
        <f>IF(AND(ISNUMBER(B126), ISNUMBER(MIN(B$2:B$486)), ISNUMBER(MAX(B$2:B$486))), IF(MAX(B$2:B$486)=MIN(B$2:B$486), 50, ROUND((MAX(B$2:B$486)-B126)/(MAX(B$2:B$486)-MIN(B$2:B$486))*100, 2)), "")</f>
        <v/>
      </c>
      <c r="AA126">
        <f>IF(AND(ISNUMBER(X126), ISNUMBER(MIN(X$2:X$486)), ISNUMBER(MAX(X$2:X$486))), IF(MAX(X$2:X$486)=MIN(X$2:X$486), 50, ROUND((MAX(X$2:X$486)-X126)/(MAX(X$2:X$486)-MIN(X$2:X$486))*100, 2)), "")</f>
        <v/>
      </c>
      <c r="AB126">
        <f>IF(AND(ISNUMBER(U126), ISNUMBER(MIN(U$2:U$486)), ISNUMBER(MAX(U$2:U$486))), IF(MAX(U$2:U$486)=MIN(U$2:U$486), 50, ROUND((U126-MIN(U$2:U$486))/(MAX(U$2:U$486)-MIN(U$2:U$486))*100, 2)), "")</f>
        <v/>
      </c>
      <c r="AC126">
        <f>IF(AND(ISNUMBER(Z126), ISNUMBER(AA126), ISNUMBER(AB126)), ROUND((Z126+AA126+AB126)/3, 2), "")</f>
        <v/>
      </c>
    </row>
    <row r="127">
      <c r="A127" t="n">
        <v>167924246</v>
      </c>
      <c r="B127" t="n">
        <v>1750</v>
      </c>
      <c r="C127" t="inlineStr">
        <is>
          <t>£1,750 pcm</t>
        </is>
      </c>
      <c r="D127" t="inlineStr">
        <is>
          <t>monthly</t>
        </is>
      </c>
      <c r="E127" t="inlineStr">
        <is>
          <t>Flat</t>
        </is>
      </c>
      <c r="F127" t="n">
        <v>2</v>
      </c>
      <c r="G127" t="n">
        <v>1</v>
      </c>
      <c r="H127" t="inlineStr">
        <is>
          <t>Clarendon Rise, Lewisham</t>
        </is>
      </c>
      <c r="I127" t="inlineStr">
        <is>
          <t>A truly stunning, architecturally designed first floor flat comprising an open plan kitchen / reception with a breakfast bar, a main bedroom with floor to ceiling storage, a modern wet room and a separate study. The property also boasts under floor heating and hardwood flooring throughout.</t>
        </is>
      </c>
      <c r="J127" t="inlineStr">
        <is>
          <t>https://www.rightmove.co.uk/properties/167924246#/?channel=RES_LET</t>
        </is>
      </c>
      <c r="K127" t="inlineStr">
        <is>
          <t>/property-to-rent/contactBranch.html?propertyId=167924246</t>
        </is>
      </c>
      <c r="L127" t="inlineStr">
        <is>
          <t>Dexters, Lewisham</t>
        </is>
      </c>
      <c r="M127" t="n">
        <v>66897</v>
      </c>
      <c r="N127" t="inlineStr">
        <is>
          <t>Reduced on 13/10/2025</t>
        </is>
      </c>
      <c r="O127" t="inlineStr">
        <is>
          <t>2025-10-07T15:49:22Z</t>
        </is>
      </c>
      <c r="R127" t="inlineStr">
        <is>
          <t>2025-10-16T17:42:18.770987</t>
        </is>
      </c>
      <c r="S127" t="inlineStr">
        <is>
          <t>{'let available date': 'Ask agent', 'deposit': '£2,019', 'min. tenancy': 'Ask agent', 'let type': 'Long term', 'furnish type': 'Furnished', 'council tax': 'Ask agent'}</t>
        </is>
      </c>
      <c r="V127" t="b">
        <v>1</v>
      </c>
      <c r="X127" t="n">
        <v>12.33</v>
      </c>
      <c r="Y127" t="n">
        <v>48.2</v>
      </c>
      <c r="Z127">
        <f>IF(AND(ISNUMBER(B127), ISNUMBER(MIN(B$2:B$486)), ISNUMBER(MAX(B$2:B$486))), IF(MAX(B$2:B$486)=MIN(B$2:B$486), 50, ROUND((MAX(B$2:B$486)-B127)/(MAX(B$2:B$486)-MIN(B$2:B$486))*100, 2)), "")</f>
        <v/>
      </c>
      <c r="AA127">
        <f>IF(AND(ISNUMBER(X127), ISNUMBER(MIN(X$2:X$486)), ISNUMBER(MAX(X$2:X$486))), IF(MAX(X$2:X$486)=MIN(X$2:X$486), 50, ROUND((MAX(X$2:X$486)-X127)/(MAX(X$2:X$486)-MIN(X$2:X$486))*100, 2)), "")</f>
        <v/>
      </c>
      <c r="AB127">
        <f>IF(AND(ISNUMBER(U127), ISNUMBER(MIN(U$2:U$486)), ISNUMBER(MAX(U$2:U$486))), IF(MAX(U$2:U$486)=MIN(U$2:U$486), 50, ROUND((U127-MIN(U$2:U$486))/(MAX(U$2:U$486)-MIN(U$2:U$486))*100, 2)), "")</f>
        <v/>
      </c>
      <c r="AC127">
        <f>IF(AND(ISNUMBER(Z127), ISNUMBER(AA127), ISNUMBER(AB127)), ROUND((Z127+AA127+AB127)/3, 2), "")</f>
        <v/>
      </c>
    </row>
    <row r="128">
      <c r="A128" t="n">
        <v>166560431</v>
      </c>
      <c r="B128" t="n">
        <v>1700</v>
      </c>
      <c r="C128" t="inlineStr">
        <is>
          <t>£1,700 pcm</t>
        </is>
      </c>
      <c r="D128" t="inlineStr">
        <is>
          <t>monthly</t>
        </is>
      </c>
      <c r="E128" t="inlineStr">
        <is>
          <t>Flat</t>
        </is>
      </c>
      <c r="F128" t="n">
        <v>2</v>
      </c>
      <c r="G128" t="n">
        <v>1</v>
      </c>
      <c r="H128" t="inlineStr">
        <is>
          <t>Broadway, West Ealing, W13 0SU</t>
        </is>
      </c>
      <c r="I128" t="inlineStr">
        <is>
          <t>Available NOW - WATER &amp; Wi-Fi BILLS Included - Freshly redecorated two-bedroom first-floor flat with lounge, separate kitchen, and full bathroom. Includes gas heating, and double glazing. Walk to West Ealing Station, shops, and Waitrose. Excellent Local transport links.</t>
        </is>
      </c>
      <c r="J128" t="inlineStr">
        <is>
          <t>https://www.rightmove.co.uk/properties/166560431#/?channel=RES_LET</t>
        </is>
      </c>
      <c r="K128" t="inlineStr">
        <is>
          <t>/property-to-rent/contactBranch.html?propertyId=166560431</t>
        </is>
      </c>
      <c r="L128" t="inlineStr">
        <is>
          <t>Citydeal Estates, London</t>
        </is>
      </c>
      <c r="M128" t="n">
        <v>96880</v>
      </c>
      <c r="N128" t="inlineStr">
        <is>
          <t>Reduced on 13/10/2025</t>
        </is>
      </c>
      <c r="O128" t="inlineStr">
        <is>
          <t>2025-09-04T00:05:32Z</t>
        </is>
      </c>
      <c r="Q128" t="inlineStr">
        <is>
          <t>W13</t>
        </is>
      </c>
      <c r="R128" t="inlineStr">
        <is>
          <t>2025-10-16T17:42:18.770991</t>
        </is>
      </c>
      <c r="S128" t="inlineStr">
        <is>
          <t>{'let available date': 'Ask agent', 'deposit': '£1,960', 'min. tenancy': 'Ask agent', 'let type': 'Long term', 'furnish type': 'Unfurnished', 'council tax': 'Ask agent'}</t>
        </is>
      </c>
      <c r="V128" t="b">
        <v>1</v>
      </c>
      <c r="X128" t="n">
        <v>16.32</v>
      </c>
      <c r="Y128" t="n">
        <v>47.4</v>
      </c>
      <c r="Z128">
        <f>IF(AND(ISNUMBER(B128), ISNUMBER(MIN(B$2:B$486)), ISNUMBER(MAX(B$2:B$486))), IF(MAX(B$2:B$486)=MIN(B$2:B$486), 50, ROUND((MAX(B$2:B$486)-B128)/(MAX(B$2:B$486)-MIN(B$2:B$486))*100, 2)), "")</f>
        <v/>
      </c>
      <c r="AA128">
        <f>IF(AND(ISNUMBER(X128), ISNUMBER(MIN(X$2:X$486)), ISNUMBER(MAX(X$2:X$486))), IF(MAX(X$2:X$486)=MIN(X$2:X$486), 50, ROUND((MAX(X$2:X$486)-X128)/(MAX(X$2:X$486)-MIN(X$2:X$486))*100, 2)), "")</f>
        <v/>
      </c>
      <c r="AB128">
        <f>IF(AND(ISNUMBER(U128), ISNUMBER(MIN(U$2:U$486)), ISNUMBER(MAX(U$2:U$486))), IF(MAX(U$2:U$486)=MIN(U$2:U$486), 50, ROUND((U128-MIN(U$2:U$486))/(MAX(U$2:U$486)-MIN(U$2:U$486))*100, 2)), "")</f>
        <v/>
      </c>
      <c r="AC128">
        <f>IF(AND(ISNUMBER(Z128), ISNUMBER(AA128), ISNUMBER(AB128)), ROUND((Z128+AA128+AB128)/3, 2), "")</f>
        <v/>
      </c>
    </row>
    <row r="129">
      <c r="A129" t="n">
        <v>168174698</v>
      </c>
      <c r="B129" t="n">
        <v>1650</v>
      </c>
      <c r="C129" t="inlineStr">
        <is>
          <t>£1,650 pcm</t>
        </is>
      </c>
      <c r="D129" t="inlineStr">
        <is>
          <t>monthly</t>
        </is>
      </c>
      <c r="E129" t="inlineStr">
        <is>
          <t>Flat</t>
        </is>
      </c>
      <c r="F129" t="n">
        <v>2</v>
      </c>
      <c r="G129" t="n">
        <v>1</v>
      </c>
      <c r="H129" t="inlineStr">
        <is>
          <t>Stoneleigh Broadway, Epsom, KT17</t>
        </is>
      </c>
      <c r="I129" t="inlineStr">
        <is>
          <t>Kaybridge are proud to present this exceptional furnished two bedroom apartment in close proximity to Stoneleigh Station, offering direct links to London Waterloo.</t>
        </is>
      </c>
      <c r="J129" t="inlineStr">
        <is>
          <t>https://www.rightmove.co.uk/properties/168174698#/?channel=RES_LET</t>
        </is>
      </c>
      <c r="K129" t="inlineStr">
        <is>
          <t>/property-to-rent/contactBranch.html?propertyId=168174698</t>
        </is>
      </c>
      <c r="L129" t="inlineStr">
        <is>
          <t>Kaybridge Residential, Stoneleigh</t>
        </is>
      </c>
      <c r="M129" t="n">
        <v>76395</v>
      </c>
      <c r="N129" t="inlineStr">
        <is>
          <t>Added on 13/10/2025</t>
        </is>
      </c>
      <c r="O129" t="inlineStr">
        <is>
          <t>2025-10-13T17:51:59Z</t>
        </is>
      </c>
      <c r="Q129" t="inlineStr">
        <is>
          <t>KT17</t>
        </is>
      </c>
      <c r="R129" t="inlineStr">
        <is>
          <t>2025-10-16T17:42:18.770996</t>
        </is>
      </c>
      <c r="S129" t="inlineStr">
        <is>
          <t>{'let available date': 'Now', 'deposit': '£1,903', 'min. tenancy': '12 months', 'let type': 'Long term', 'furnish type': 'Unfurnished', 'council tax': 'Ask agent'}</t>
        </is>
      </c>
      <c r="T129" t="n">
        <v>904</v>
      </c>
      <c r="U129" t="n">
        <v>84</v>
      </c>
      <c r="V129" t="b">
        <v>1</v>
      </c>
      <c r="X129" t="n">
        <v>27.94</v>
      </c>
      <c r="Y129" t="n">
        <v>64</v>
      </c>
      <c r="Z129">
        <f>IF(AND(ISNUMBER(B129), ISNUMBER(MIN(B$2:B$486)), ISNUMBER(MAX(B$2:B$486))), IF(MAX(B$2:B$486)=MIN(B$2:B$486), 50, ROUND((MAX(B$2:B$486)-B129)/(MAX(B$2:B$486)-MIN(B$2:B$486))*100, 2)), "")</f>
        <v/>
      </c>
      <c r="AA129">
        <f>IF(AND(ISNUMBER(X129), ISNUMBER(MIN(X$2:X$486)), ISNUMBER(MAX(X$2:X$486))), IF(MAX(X$2:X$486)=MIN(X$2:X$486), 50, ROUND((MAX(X$2:X$486)-X129)/(MAX(X$2:X$486)-MIN(X$2:X$486))*100, 2)), "")</f>
        <v/>
      </c>
      <c r="AB129">
        <f>IF(AND(ISNUMBER(U129), ISNUMBER(MIN(U$2:U$486)), ISNUMBER(MAX(U$2:U$486))), IF(MAX(U$2:U$486)=MIN(U$2:U$486), 50, ROUND((U129-MIN(U$2:U$486))/(MAX(U$2:U$486)-MIN(U$2:U$486))*100, 2)), "")</f>
        <v/>
      </c>
      <c r="AC129">
        <f>IF(AND(ISNUMBER(Z129), ISNUMBER(AA129), ISNUMBER(AB129)), ROUND((Z129+AA129+AB129)/3, 2), "")</f>
        <v/>
      </c>
    </row>
    <row r="130">
      <c r="A130" t="n">
        <v>168172466</v>
      </c>
      <c r="B130" t="n">
        <v>1750</v>
      </c>
      <c r="C130" t="inlineStr">
        <is>
          <t>£1,750 pcm</t>
        </is>
      </c>
      <c r="D130" t="inlineStr">
        <is>
          <t>monthly</t>
        </is>
      </c>
      <c r="E130" t="inlineStr">
        <is>
          <t>Flat</t>
        </is>
      </c>
      <c r="F130" t="n">
        <v>2</v>
      </c>
      <c r="G130" t="n">
        <v>1</v>
      </c>
      <c r="H130" t="inlineStr">
        <is>
          <t>Liberty Avenue, Colliers Wood</t>
        </is>
      </c>
      <c r="I130" t="inlineStr">
        <is>
          <t>2 genuine, double bedroom maisonette with private front and rear gardens. Available from the 27th October. Liberty Avenue is located conveniently close to shops, tube station, tram station &amp; local gym at Merton Abbey and Central Colliers Wood. This property has a modern fitted kitchen &amp; bathroom,...</t>
        </is>
      </c>
      <c r="J130" t="inlineStr">
        <is>
          <t>https://www.rightmove.co.uk/properties/168172466#/?channel=RES_LET</t>
        </is>
      </c>
      <c r="K130" t="inlineStr">
        <is>
          <t>/property-to-rent/contactBranch.html?propertyId=168172466</t>
        </is>
      </c>
      <c r="L130" t="inlineStr">
        <is>
          <t>eddisonwhite, Merton - Sales &amp; Lettings</t>
        </is>
      </c>
      <c r="M130" t="n">
        <v>20183</v>
      </c>
      <c r="N130" t="inlineStr">
        <is>
          <t>Added on 13/10/2025</t>
        </is>
      </c>
      <c r="O130" t="inlineStr">
        <is>
          <t>2025-10-13T17:12:23Z</t>
        </is>
      </c>
      <c r="R130" t="inlineStr">
        <is>
          <t>2025-10-16T17:42:18.770999</t>
        </is>
      </c>
      <c r="S130" t="inlineStr">
        <is>
          <t>{'let available date': '27/10/2025', 'deposit': 'Ask agent', 'min. tenancy': 'Ask agent', 'let type': 'Long term', 'furnish type': 'Unfurnished', 'council tax': 'Ask agent'}</t>
        </is>
      </c>
      <c r="V130" t="b">
        <v>1</v>
      </c>
      <c r="X130" t="n">
        <v>13.65</v>
      </c>
      <c r="Y130" t="n">
        <v>53.4</v>
      </c>
      <c r="Z130">
        <f>IF(AND(ISNUMBER(B130), ISNUMBER(MIN(B$2:B$486)), ISNUMBER(MAX(B$2:B$486))), IF(MAX(B$2:B$486)=MIN(B$2:B$486), 50, ROUND((MAX(B$2:B$486)-B130)/(MAX(B$2:B$486)-MIN(B$2:B$486))*100, 2)), "")</f>
        <v/>
      </c>
      <c r="AA130">
        <f>IF(AND(ISNUMBER(X130), ISNUMBER(MIN(X$2:X$486)), ISNUMBER(MAX(X$2:X$486))), IF(MAX(X$2:X$486)=MIN(X$2:X$486), 50, ROUND((MAX(X$2:X$486)-X130)/(MAX(X$2:X$486)-MIN(X$2:X$486))*100, 2)), "")</f>
        <v/>
      </c>
      <c r="AB130">
        <f>IF(AND(ISNUMBER(U130), ISNUMBER(MIN(U$2:U$486)), ISNUMBER(MAX(U$2:U$486))), IF(MAX(U$2:U$486)=MIN(U$2:U$486), 50, ROUND((U130-MIN(U$2:U$486))/(MAX(U$2:U$486)-MIN(U$2:U$486))*100, 2)), "")</f>
        <v/>
      </c>
      <c r="AC130">
        <f>IF(AND(ISNUMBER(Z130), ISNUMBER(AA130), ISNUMBER(AB130)), ROUND((Z130+AA130+AB130)/3, 2), "")</f>
        <v/>
      </c>
    </row>
    <row r="131">
      <c r="A131" t="n">
        <v>168172412</v>
      </c>
      <c r="B131" t="n">
        <v>1600</v>
      </c>
      <c r="C131" t="inlineStr">
        <is>
          <t>£1,600 pcm</t>
        </is>
      </c>
      <c r="D131" t="inlineStr">
        <is>
          <t>monthly</t>
        </is>
      </c>
      <c r="E131" t="inlineStr">
        <is>
          <t>Ground Flat</t>
        </is>
      </c>
      <c r="F131" t="n">
        <v>2</v>
      </c>
      <c r="G131" t="n">
        <v>1</v>
      </c>
      <c r="H131" t="inlineStr">
        <is>
          <t>Beulah Hill, London, SE19</t>
        </is>
      </c>
      <c r="I131" t="inlineStr">
        <is>
          <t>Winkworth is pleased to offer this two bedroom ground floor garden flat for rent on Beulah Hill. The property comprises entrance hallway with good sized storage cupboard, bathroom suite, good sized double bedroom with great fitted wardrobe space, second smaller bedroom, spacious recep...</t>
        </is>
      </c>
      <c r="J131" t="inlineStr">
        <is>
          <t>https://www.rightmove.co.uk/properties/168172412#/?channel=RES_LET</t>
        </is>
      </c>
      <c r="K131" t="inlineStr">
        <is>
          <t>/property-to-rent/contactBranch.html?propertyId=168172412</t>
        </is>
      </c>
      <c r="L131" t="inlineStr">
        <is>
          <t>Winkworth Crystal Palace, Crystal Palace</t>
        </is>
      </c>
      <c r="M131" t="n">
        <v>68930</v>
      </c>
      <c r="N131" t="inlineStr">
        <is>
          <t>Added on 13/10/2025</t>
        </is>
      </c>
      <c r="O131" t="inlineStr">
        <is>
          <t>2025-10-13T17:11:27Z</t>
        </is>
      </c>
      <c r="Q131" t="inlineStr">
        <is>
          <t>SE19</t>
        </is>
      </c>
      <c r="R131" t="inlineStr">
        <is>
          <t>2025-10-16T17:42:18.771001</t>
        </is>
      </c>
      <c r="S131" t="inlineStr">
        <is>
          <t>{'let available date': '20/10/2025', 'deposit': '£0', 'min. tenancy': 'Ask agent', 'let type': 'Long term', 'furnish type': 'Ask agent', 'council tax': 'Ask agent'}</t>
        </is>
      </c>
      <c r="V131" t="b">
        <v>1</v>
      </c>
      <c r="X131" t="n">
        <v>14</v>
      </c>
      <c r="Y131" t="n">
        <v>46.6</v>
      </c>
      <c r="Z131">
        <f>IF(AND(ISNUMBER(B131), ISNUMBER(MIN(B$2:B$486)), ISNUMBER(MAX(B$2:B$486))), IF(MAX(B$2:B$486)=MIN(B$2:B$486), 50, ROUND((MAX(B$2:B$486)-B131)/(MAX(B$2:B$486)-MIN(B$2:B$486))*100, 2)), "")</f>
        <v/>
      </c>
      <c r="AA131">
        <f>IF(AND(ISNUMBER(X131), ISNUMBER(MIN(X$2:X$486)), ISNUMBER(MAX(X$2:X$486))), IF(MAX(X$2:X$486)=MIN(X$2:X$486), 50, ROUND((MAX(X$2:X$486)-X131)/(MAX(X$2:X$486)-MIN(X$2:X$486))*100, 2)), "")</f>
        <v/>
      </c>
      <c r="AB131">
        <f>IF(AND(ISNUMBER(U131), ISNUMBER(MIN(U$2:U$486)), ISNUMBER(MAX(U$2:U$486))), IF(MAX(U$2:U$486)=MIN(U$2:U$486), 50, ROUND((U131-MIN(U$2:U$486))/(MAX(U$2:U$486)-MIN(U$2:U$486))*100, 2)), "")</f>
        <v/>
      </c>
      <c r="AC131">
        <f>IF(AND(ISNUMBER(Z131), ISNUMBER(AA131), ISNUMBER(AB131)), ROUND((Z131+AA131+AB131)/3, 2), "")</f>
        <v/>
      </c>
    </row>
    <row r="132">
      <c r="A132" t="n">
        <v>167682752</v>
      </c>
      <c r="B132" t="n">
        <v>1750</v>
      </c>
      <c r="C132" t="inlineStr">
        <is>
          <t>£1,750 pcm</t>
        </is>
      </c>
      <c r="D132" t="inlineStr">
        <is>
          <t>monthly</t>
        </is>
      </c>
      <c r="E132" t="inlineStr">
        <is>
          <t>Flat</t>
        </is>
      </c>
      <c r="F132" t="n">
        <v>2</v>
      </c>
      <c r="G132" t="n">
        <v>1</v>
      </c>
      <c r="H132" t="inlineStr">
        <is>
          <t>Bromfelde Road, 
Clapham North, SW4</t>
        </is>
      </c>
      <c r="I132" t="inlineStr">
        <is>
          <t>A well-proportioned two bedroom flat located in a great location near to Clapham North and the amenities of Clapham High Street. The flat has a contemporary feel and benefits from neutral décor throughout.</t>
        </is>
      </c>
      <c r="J132" t="inlineStr">
        <is>
          <t>https://www.rightmove.co.uk/properties/167682752#/?channel=RES_LET</t>
        </is>
      </c>
      <c r="K132" t="inlineStr">
        <is>
          <t>/property-to-rent/contactBranch.html?propertyId=167682752</t>
        </is>
      </c>
      <c r="L132" t="inlineStr">
        <is>
          <t>Chestertons, Clapham Common &amp; Brixton</t>
        </is>
      </c>
      <c r="M132" t="n">
        <v>279224</v>
      </c>
      <c r="N132" t="inlineStr">
        <is>
          <t>Reduced on 13/10/2025</t>
        </is>
      </c>
      <c r="O132" t="inlineStr">
        <is>
          <t>2025-10-01T17:15:17Z</t>
        </is>
      </c>
      <c r="Q132" t="inlineStr">
        <is>
          <t>SW4</t>
        </is>
      </c>
      <c r="R132" t="inlineStr">
        <is>
          <t>2025-10-16T17:42:18.771004</t>
        </is>
      </c>
      <c r="S132" t="inlineStr">
        <is>
          <t>{'let available date': 'Now', 'deposit': '£2,019', 'min. tenancy': '6 months', 'let type': 'Long term', 'furnish type': 'Unfurnished', 'council tax': 'Ask agent'}</t>
        </is>
      </c>
      <c r="V132" t="b">
        <v>1</v>
      </c>
      <c r="X132" t="n">
        <v>7.65</v>
      </c>
      <c r="Y132" t="n">
        <v>32.1</v>
      </c>
      <c r="Z132">
        <f>IF(AND(ISNUMBER(B132), ISNUMBER(MIN(B$2:B$486)), ISNUMBER(MAX(B$2:B$486))), IF(MAX(B$2:B$486)=MIN(B$2:B$486), 50, ROUND((MAX(B$2:B$486)-B132)/(MAX(B$2:B$486)-MIN(B$2:B$486))*100, 2)), "")</f>
        <v/>
      </c>
      <c r="AA132">
        <f>IF(AND(ISNUMBER(X132), ISNUMBER(MIN(X$2:X$486)), ISNUMBER(MAX(X$2:X$486))), IF(MAX(X$2:X$486)=MIN(X$2:X$486), 50, ROUND((MAX(X$2:X$486)-X132)/(MAX(X$2:X$486)-MIN(X$2:X$486))*100, 2)), "")</f>
        <v/>
      </c>
      <c r="AB132">
        <f>IF(AND(ISNUMBER(U132), ISNUMBER(MIN(U$2:U$486)), ISNUMBER(MAX(U$2:U$486))), IF(MAX(U$2:U$486)=MIN(U$2:U$486), 50, ROUND((U132-MIN(U$2:U$486))/(MAX(U$2:U$486)-MIN(U$2:U$486))*100, 2)), "")</f>
        <v/>
      </c>
      <c r="AC132">
        <f>IF(AND(ISNUMBER(Z132), ISNUMBER(AA132), ISNUMBER(AB132)), ROUND((Z132+AA132+AB132)/3, 2), "")</f>
        <v/>
      </c>
    </row>
    <row r="133">
      <c r="A133" t="n">
        <v>167680340</v>
      </c>
      <c r="B133" t="n">
        <v>1750</v>
      </c>
      <c r="C133" t="inlineStr">
        <is>
          <t>£1,750 pcm</t>
        </is>
      </c>
      <c r="D133" t="inlineStr">
        <is>
          <t>monthly</t>
        </is>
      </c>
      <c r="E133" t="inlineStr">
        <is>
          <t>Flat</t>
        </is>
      </c>
      <c r="F133" t="n">
        <v>2</v>
      </c>
      <c r="G133" t="n">
        <v>1</v>
      </c>
      <c r="H133" t="inlineStr">
        <is>
          <t>Bromfelde Road, 
Clapham North, SW4</t>
        </is>
      </c>
      <c r="I133" t="inlineStr">
        <is>
          <t>A well-proportioned two bedroom flat located in a great location near to Clapham North and the amenities of Clapham High Street. The flat has a contemporary feel and benefits from neutral décor, and access to a private garden.</t>
        </is>
      </c>
      <c r="J133" t="inlineStr">
        <is>
          <t>https://www.rightmove.co.uk/properties/167680340#/?channel=RES_LET</t>
        </is>
      </c>
      <c r="K133" t="inlineStr">
        <is>
          <t>/property-to-rent/contactBranch.html?propertyId=167680340</t>
        </is>
      </c>
      <c r="L133" t="inlineStr">
        <is>
          <t>Chestertons, Clapham Common &amp; Brixton</t>
        </is>
      </c>
      <c r="M133" t="n">
        <v>279224</v>
      </c>
      <c r="N133" t="inlineStr">
        <is>
          <t>Reduced on 13/10/2025</t>
        </is>
      </c>
      <c r="O133" t="inlineStr">
        <is>
          <t>2025-10-01T16:45:53Z</t>
        </is>
      </c>
      <c r="Q133" t="inlineStr">
        <is>
          <t>SW4</t>
        </is>
      </c>
      <c r="R133" t="inlineStr">
        <is>
          <t>2025-10-16T17:42:18.771006</t>
        </is>
      </c>
      <c r="S133" t="inlineStr">
        <is>
          <t>{'let available date': 'Now', 'deposit': '£2,019', 'min. tenancy': '6 months', 'let type': 'Long term', 'furnish type': 'Unfurnished', 'council tax': 'Ask agent'}</t>
        </is>
      </c>
      <c r="V133" t="b">
        <v>1</v>
      </c>
      <c r="X133" t="n">
        <v>7.65</v>
      </c>
      <c r="Y133" t="n">
        <v>32.1</v>
      </c>
      <c r="Z133">
        <f>IF(AND(ISNUMBER(B133), ISNUMBER(MIN(B$2:B$486)), ISNUMBER(MAX(B$2:B$486))), IF(MAX(B$2:B$486)=MIN(B$2:B$486), 50, ROUND((MAX(B$2:B$486)-B133)/(MAX(B$2:B$486)-MIN(B$2:B$486))*100, 2)), "")</f>
        <v/>
      </c>
      <c r="AA133">
        <f>IF(AND(ISNUMBER(X133), ISNUMBER(MIN(X$2:X$486)), ISNUMBER(MAX(X$2:X$486))), IF(MAX(X$2:X$486)=MIN(X$2:X$486), 50, ROUND((MAX(X$2:X$486)-X133)/(MAX(X$2:X$486)-MIN(X$2:X$486))*100, 2)), "")</f>
        <v/>
      </c>
      <c r="AB133">
        <f>IF(AND(ISNUMBER(U133), ISNUMBER(MIN(U$2:U$486)), ISNUMBER(MAX(U$2:U$486))), IF(MAX(U$2:U$486)=MIN(U$2:U$486), 50, ROUND((U133-MIN(U$2:U$486))/(MAX(U$2:U$486)-MIN(U$2:U$486))*100, 2)), "")</f>
        <v/>
      </c>
      <c r="AC133">
        <f>IF(AND(ISNUMBER(Z133), ISNUMBER(AA133), ISNUMBER(AB133)), ROUND((Z133+AA133+AB133)/3, 2), "")</f>
        <v/>
      </c>
    </row>
    <row r="134">
      <c r="A134" t="n">
        <v>165870338</v>
      </c>
      <c r="B134" t="n">
        <v>1700</v>
      </c>
      <c r="C134" t="inlineStr">
        <is>
          <t>£1,700 pcm</t>
        </is>
      </c>
      <c r="D134" t="inlineStr">
        <is>
          <t>monthly</t>
        </is>
      </c>
      <c r="E134" t="inlineStr">
        <is>
          <t>Flat</t>
        </is>
      </c>
      <c r="F134" t="n">
        <v>2</v>
      </c>
      <c r="G134" t="n">
        <v>1</v>
      </c>
      <c r="H134" t="inlineStr">
        <is>
          <t>Somerset Halls, Creighton Road, Tottenham</t>
        </is>
      </c>
      <c r="I134" t="inlineStr">
        <is>
          <t>Kings Group are delighted to offer this part furnished flat in Somerset Halls. This property comprises an open plan kitchen and reception room, 3 piece bathroom, 1 double bedroom, 1 single bedroom and residents parking. Located a short walk White Hart Lane station benefitting from great transport...</t>
        </is>
      </c>
      <c r="J134" t="inlineStr">
        <is>
          <t>https://www.rightmove.co.uk/properties/165870338#/?channel=RES_LET</t>
        </is>
      </c>
      <c r="K134" t="inlineStr">
        <is>
          <t>/property-to-rent/contactBranch.html?propertyId=165870338</t>
        </is>
      </c>
      <c r="L134" t="inlineStr">
        <is>
          <t>Kings Group, Tottenham - Lettings</t>
        </is>
      </c>
      <c r="M134" t="n">
        <v>12376</v>
      </c>
      <c r="N134" t="inlineStr">
        <is>
          <t>Reduced on 13/10/2025</t>
        </is>
      </c>
      <c r="O134" t="inlineStr">
        <is>
          <t>2025-08-18T11:11:11Z</t>
        </is>
      </c>
      <c r="R134" t="inlineStr">
        <is>
          <t>2025-10-16T17:42:18.771008</t>
        </is>
      </c>
      <c r="S134" t="inlineStr">
        <is>
          <t>{'let available date': 'Now', 'deposit': '£1,700', 'min. tenancy': 'Ask agent', 'let type': 'Long term', 'furnish type': 'Part furnished', 'council tax': 'Ask agent'}</t>
        </is>
      </c>
      <c r="V134" t="b">
        <v>1</v>
      </c>
      <c r="X134" t="n">
        <v>13.82</v>
      </c>
      <c r="Y134" t="n">
        <v>51.4</v>
      </c>
      <c r="Z134">
        <f>IF(AND(ISNUMBER(B134), ISNUMBER(MIN(B$2:B$486)), ISNUMBER(MAX(B$2:B$486))), IF(MAX(B$2:B$486)=MIN(B$2:B$486), 50, ROUND((MAX(B$2:B$486)-B134)/(MAX(B$2:B$486)-MIN(B$2:B$486))*100, 2)), "")</f>
        <v/>
      </c>
      <c r="AA134">
        <f>IF(AND(ISNUMBER(X134), ISNUMBER(MIN(X$2:X$486)), ISNUMBER(MAX(X$2:X$486))), IF(MAX(X$2:X$486)=MIN(X$2:X$486), 50, ROUND((MAX(X$2:X$486)-X134)/(MAX(X$2:X$486)-MIN(X$2:X$486))*100, 2)), "")</f>
        <v/>
      </c>
      <c r="AB134">
        <f>IF(AND(ISNUMBER(U134), ISNUMBER(MIN(U$2:U$486)), ISNUMBER(MAX(U$2:U$486))), IF(MAX(U$2:U$486)=MIN(U$2:U$486), 50, ROUND((U134-MIN(U$2:U$486))/(MAX(U$2:U$486)-MIN(U$2:U$486))*100, 2)), "")</f>
        <v/>
      </c>
      <c r="AC134">
        <f>IF(AND(ISNUMBER(Z134), ISNUMBER(AA134), ISNUMBER(AB134)), ROUND((Z134+AA134+AB134)/3, 2), "")</f>
        <v/>
      </c>
    </row>
    <row r="135">
      <c r="A135" t="n">
        <v>167111177</v>
      </c>
      <c r="B135" t="n">
        <v>1650</v>
      </c>
      <c r="C135" t="inlineStr">
        <is>
          <t>£1,650 pcm</t>
        </is>
      </c>
      <c r="D135" t="inlineStr">
        <is>
          <t>monthly</t>
        </is>
      </c>
      <c r="E135" t="inlineStr">
        <is>
          <t>Apartment</t>
        </is>
      </c>
      <c r="F135" t="n">
        <v>2</v>
      </c>
      <c r="G135" t="n">
        <v>1</v>
      </c>
      <c r="H135" t="inlineStr">
        <is>
          <t>Welbeck Road, Carshalton, SM5</t>
        </is>
      </c>
      <c r="I135" t="inlineStr">
        <is>
          <t>A bright and spacious two-bedroom first floor apartment, set within a house conversion and ideally located close to St Helier Hospital. The property benefits from excellent public transport links and local amenities nearby. The accommodation comprises a generous reception room, a separ...</t>
        </is>
      </c>
      <c r="J135" t="inlineStr">
        <is>
          <t>https://www.rightmove.co.uk/properties/167111177#/?channel=RES_LET</t>
        </is>
      </c>
      <c r="K135" t="inlineStr">
        <is>
          <t>/property-to-rent/contactBranch.html?propertyId=167111177</t>
        </is>
      </c>
      <c r="L135" t="inlineStr">
        <is>
          <t>Goodfellows, Morden - Lettings</t>
        </is>
      </c>
      <c r="M135" t="n">
        <v>8972</v>
      </c>
      <c r="N135" t="inlineStr">
        <is>
          <t>Reduced on 13/10/2025</t>
        </is>
      </c>
      <c r="O135" t="inlineStr">
        <is>
          <t>2025-09-17T16:51:21Z</t>
        </is>
      </c>
      <c r="Q135" t="inlineStr">
        <is>
          <t>SM5</t>
        </is>
      </c>
      <c r="R135" t="inlineStr">
        <is>
          <t>2025-10-16T17:42:18.771010</t>
        </is>
      </c>
      <c r="S135" t="inlineStr">
        <is>
          <t>{'let available date': '19/11/2025', 'deposit': '£0', 'min. tenancy': 'Ask agent', 'let type': 'Long term', 'furnish type': 'Ask agent', 'council tax': 'Ask agent'}</t>
        </is>
      </c>
      <c r="V135" t="b">
        <v>1</v>
      </c>
      <c r="X135" t="n">
        <v>21.04</v>
      </c>
      <c r="Y135" t="n">
        <v>65.59999999999999</v>
      </c>
      <c r="Z135">
        <f>IF(AND(ISNUMBER(B135), ISNUMBER(MIN(B$2:B$486)), ISNUMBER(MAX(B$2:B$486))), IF(MAX(B$2:B$486)=MIN(B$2:B$486), 50, ROUND((MAX(B$2:B$486)-B135)/(MAX(B$2:B$486)-MIN(B$2:B$486))*100, 2)), "")</f>
        <v/>
      </c>
      <c r="AA135">
        <f>IF(AND(ISNUMBER(X135), ISNUMBER(MIN(X$2:X$486)), ISNUMBER(MAX(X$2:X$486))), IF(MAX(X$2:X$486)=MIN(X$2:X$486), 50, ROUND((MAX(X$2:X$486)-X135)/(MAX(X$2:X$486)-MIN(X$2:X$486))*100, 2)), "")</f>
        <v/>
      </c>
      <c r="AB135">
        <f>IF(AND(ISNUMBER(U135), ISNUMBER(MIN(U$2:U$486)), ISNUMBER(MAX(U$2:U$486))), IF(MAX(U$2:U$486)=MIN(U$2:U$486), 50, ROUND((U135-MIN(U$2:U$486))/(MAX(U$2:U$486)-MIN(U$2:U$486))*100, 2)), "")</f>
        <v/>
      </c>
      <c r="AC135">
        <f>IF(AND(ISNUMBER(Z135), ISNUMBER(AA135), ISNUMBER(AB135)), ROUND((Z135+AA135+AB135)/3, 2), "")</f>
        <v/>
      </c>
    </row>
    <row r="136">
      <c r="A136" t="n">
        <v>168169661</v>
      </c>
      <c r="B136" t="n">
        <v>1650</v>
      </c>
      <c r="C136" t="inlineStr">
        <is>
          <t>£1,650 pcm</t>
        </is>
      </c>
      <c r="D136" t="inlineStr">
        <is>
          <t>monthly</t>
        </is>
      </c>
      <c r="E136" t="inlineStr">
        <is>
          <t>Apartment</t>
        </is>
      </c>
      <c r="F136" t="n">
        <v>2</v>
      </c>
      <c r="G136" t="n">
        <v>1</v>
      </c>
      <c r="H136" t="inlineStr">
        <is>
          <t>Gayfere Place, London, SE25</t>
        </is>
      </c>
      <c r="I136" t="inlineStr">
        <is>
          <t>A well-presented two-bedroom apartment available on a short-term basis. The property features a spacious open-plan kitchen and living area, two double bedrooms, and is offered unfurnished. Ideally suited for those seeking flexible accommodation. Enquire now to arrange a viewing.</t>
        </is>
      </c>
      <c r="J136" t="inlineStr">
        <is>
          <t>https://www.rightmove.co.uk/properties/168169661#/?channel=RES_LET</t>
        </is>
      </c>
      <c r="K136" t="inlineStr">
        <is>
          <t>/property-to-rent/contactBranch.html?propertyId=168169661</t>
        </is>
      </c>
      <c r="L136" t="inlineStr">
        <is>
          <t>Streets Ahead, Crystal Palace</t>
        </is>
      </c>
      <c r="M136" t="n">
        <v>23060</v>
      </c>
      <c r="N136" t="inlineStr">
        <is>
          <t>Added on 13/10/2025</t>
        </is>
      </c>
      <c r="O136" t="inlineStr">
        <is>
          <t>2025-10-13T16:35:53Z</t>
        </is>
      </c>
      <c r="Q136" t="inlineStr">
        <is>
          <t>SE25</t>
        </is>
      </c>
      <c r="R136" t="inlineStr">
        <is>
          <t>2025-10-16T17:42:18.771012</t>
        </is>
      </c>
      <c r="S136" t="inlineStr">
        <is>
          <t>{'let available date': '25/10/2025', 'deposit': '£1,903', 'min. tenancy': 'Ask agent', 'let type': 'Short term', 'furnish type': 'Unfurnished', 'council tax': 'Ask agent'}</t>
        </is>
      </c>
      <c r="V136" t="b">
        <v>1</v>
      </c>
      <c r="X136" t="n">
        <v>16.69</v>
      </c>
      <c r="Y136" t="n">
        <v>52.9</v>
      </c>
      <c r="Z136">
        <f>IF(AND(ISNUMBER(B136), ISNUMBER(MIN(B$2:B$486)), ISNUMBER(MAX(B$2:B$486))), IF(MAX(B$2:B$486)=MIN(B$2:B$486), 50, ROUND((MAX(B$2:B$486)-B136)/(MAX(B$2:B$486)-MIN(B$2:B$486))*100, 2)), "")</f>
        <v/>
      </c>
      <c r="AA136">
        <f>IF(AND(ISNUMBER(X136), ISNUMBER(MIN(X$2:X$486)), ISNUMBER(MAX(X$2:X$486))), IF(MAX(X$2:X$486)=MIN(X$2:X$486), 50, ROUND((MAX(X$2:X$486)-X136)/(MAX(X$2:X$486)-MIN(X$2:X$486))*100, 2)), "")</f>
        <v/>
      </c>
      <c r="AB136">
        <f>IF(AND(ISNUMBER(U136), ISNUMBER(MIN(U$2:U$486)), ISNUMBER(MAX(U$2:U$486))), IF(MAX(U$2:U$486)=MIN(U$2:U$486), 50, ROUND((U136-MIN(U$2:U$486))/(MAX(U$2:U$486)-MIN(U$2:U$486))*100, 2)), "")</f>
        <v/>
      </c>
      <c r="AC136">
        <f>IF(AND(ISNUMBER(Z136), ISNUMBER(AA136), ISNUMBER(AB136)), ROUND((Z136+AA136+AB136)/3, 2), "")</f>
        <v/>
      </c>
    </row>
    <row r="137">
      <c r="A137" t="n">
        <v>168168731</v>
      </c>
      <c r="B137" t="n">
        <v>1750</v>
      </c>
      <c r="C137" t="inlineStr">
        <is>
          <t>£1,750 pcm</t>
        </is>
      </c>
      <c r="D137" t="inlineStr">
        <is>
          <t>monthly</t>
        </is>
      </c>
      <c r="E137" t="inlineStr">
        <is>
          <t>Flat</t>
        </is>
      </c>
      <c r="F137" t="n">
        <v>2</v>
      </c>
      <c r="G137" t="n">
        <v>1</v>
      </c>
      <c r="H137" t="inlineStr">
        <is>
          <t>Norbury Crescent, London, SW16</t>
        </is>
      </c>
      <c r="I137" t="inlineStr">
        <is>
          <t>Lovely 2 bedroom first floor flat in the heart of Norbury!</t>
        </is>
      </c>
      <c r="J137" t="inlineStr">
        <is>
          <t>https://www.rightmove.co.uk/properties/168168731#/?channel=RES_LET</t>
        </is>
      </c>
      <c r="K137" t="inlineStr">
        <is>
          <t>/property-to-rent/contactBranch.html?propertyId=168168731</t>
        </is>
      </c>
      <c r="L137" t="inlineStr">
        <is>
          <t>Malixons, London</t>
        </is>
      </c>
      <c r="M137" t="n">
        <v>38340</v>
      </c>
      <c r="N137" t="inlineStr">
        <is>
          <t>Added on 13/10/2025</t>
        </is>
      </c>
      <c r="O137" t="inlineStr">
        <is>
          <t>2025-10-13T16:24:15Z</t>
        </is>
      </c>
      <c r="Q137" t="inlineStr">
        <is>
          <t>SW16</t>
        </is>
      </c>
      <c r="R137" t="inlineStr">
        <is>
          <t>2025-10-16T17:42:18.771014</t>
        </is>
      </c>
      <c r="S137" t="inlineStr">
        <is>
          <t>{'let available date': 'Ask agent', 'deposit': '£2,015', 'min. tenancy': '12 months', 'let type': 'Long term', 'furnish type': 'Part furnished', 'council tax': 'Ask agent'}</t>
        </is>
      </c>
      <c r="V137" t="b">
        <v>1</v>
      </c>
      <c r="X137" t="n">
        <v>12.65</v>
      </c>
      <c r="Y137" t="n">
        <v>45.8</v>
      </c>
      <c r="Z137">
        <f>IF(AND(ISNUMBER(B137), ISNUMBER(MIN(B$2:B$486)), ISNUMBER(MAX(B$2:B$486))), IF(MAX(B$2:B$486)=MIN(B$2:B$486), 50, ROUND((MAX(B$2:B$486)-B137)/(MAX(B$2:B$486)-MIN(B$2:B$486))*100, 2)), "")</f>
        <v/>
      </c>
      <c r="AA137">
        <f>IF(AND(ISNUMBER(X137), ISNUMBER(MIN(X$2:X$486)), ISNUMBER(MAX(X$2:X$486))), IF(MAX(X$2:X$486)=MIN(X$2:X$486), 50, ROUND((MAX(X$2:X$486)-X137)/(MAX(X$2:X$486)-MIN(X$2:X$486))*100, 2)), "")</f>
        <v/>
      </c>
      <c r="AB137">
        <f>IF(AND(ISNUMBER(U137), ISNUMBER(MIN(U$2:U$486)), ISNUMBER(MAX(U$2:U$486))), IF(MAX(U$2:U$486)=MIN(U$2:U$486), 50, ROUND((U137-MIN(U$2:U$486))/(MAX(U$2:U$486)-MIN(U$2:U$486))*100, 2)), "")</f>
        <v/>
      </c>
      <c r="AC137">
        <f>IF(AND(ISNUMBER(Z137), ISNUMBER(AA137), ISNUMBER(AB137)), ROUND((Z137+AA137+AB137)/3, 2), "")</f>
        <v/>
      </c>
    </row>
    <row r="138">
      <c r="A138" t="n">
        <v>168168320</v>
      </c>
      <c r="B138" t="n">
        <v>1750</v>
      </c>
      <c r="C138" t="inlineStr">
        <is>
          <t>£1,750 pcm</t>
        </is>
      </c>
      <c r="D138" t="inlineStr">
        <is>
          <t>monthly</t>
        </is>
      </c>
      <c r="E138" t="inlineStr">
        <is>
          <t>Apartment</t>
        </is>
      </c>
      <c r="F138" t="n">
        <v>2</v>
      </c>
      <c r="G138" t="n">
        <v>1</v>
      </c>
      <c r="H138" t="inlineStr">
        <is>
          <t>Newbury Road, Highams Park</t>
        </is>
      </c>
      <c r="I138" t="inlineStr">
        <is>
          <t>An immaculately appointed, two bedroom apartment artfully arranged on the first floor of a substantial Victorian conversion in the heart of our famously friendly, green and leafy neighbourhood of Highams Park, mere moments from the station and the many and varied amenities of Larkshall Road.</t>
        </is>
      </c>
      <c r="J138" t="inlineStr">
        <is>
          <t>https://www.rightmove.co.uk/properties/168168320#/?channel=RES_LET</t>
        </is>
      </c>
      <c r="K138" t="inlineStr">
        <is>
          <t>/property-to-rent/contactBranch.html?propertyId=168168320</t>
        </is>
      </c>
      <c r="L138" t="inlineStr">
        <is>
          <t>The Stow Brothers, Walthamstow &amp; Leyton</t>
        </is>
      </c>
      <c r="M138" t="n">
        <v>114391</v>
      </c>
      <c r="N138" t="inlineStr">
        <is>
          <t>Added on 13/10/2025</t>
        </is>
      </c>
      <c r="O138" t="inlineStr">
        <is>
          <t>2025-10-13T16:19:24Z</t>
        </is>
      </c>
      <c r="R138" t="inlineStr">
        <is>
          <t>2025-10-16T17:42:18.771015</t>
        </is>
      </c>
      <c r="S138" t="inlineStr">
        <is>
          <t>{'let available date': '18/11/2025', 'deposit': '£2,019', 'min. tenancy': 'Ask agent', 'let type': 'Long term', 'furnish type': 'Unfurnished', 'council tax': 'Ask agent'}</t>
        </is>
      </c>
      <c r="V138" t="b">
        <v>1</v>
      </c>
      <c r="X138" t="n">
        <v>28.62</v>
      </c>
      <c r="Y138" t="n">
        <v>53.6</v>
      </c>
      <c r="Z138">
        <f>IF(AND(ISNUMBER(B138), ISNUMBER(MIN(B$2:B$486)), ISNUMBER(MAX(B$2:B$486))), IF(MAX(B$2:B$486)=MIN(B$2:B$486), 50, ROUND((MAX(B$2:B$486)-B138)/(MAX(B$2:B$486)-MIN(B$2:B$486))*100, 2)), "")</f>
        <v/>
      </c>
      <c r="AA138">
        <f>IF(AND(ISNUMBER(X138), ISNUMBER(MIN(X$2:X$486)), ISNUMBER(MAX(X$2:X$486))), IF(MAX(X$2:X$486)=MIN(X$2:X$486), 50, ROUND((MAX(X$2:X$486)-X138)/(MAX(X$2:X$486)-MIN(X$2:X$486))*100, 2)), "")</f>
        <v/>
      </c>
      <c r="AB138">
        <f>IF(AND(ISNUMBER(U138), ISNUMBER(MIN(U$2:U$486)), ISNUMBER(MAX(U$2:U$486))), IF(MAX(U$2:U$486)=MIN(U$2:U$486), 50, ROUND((U138-MIN(U$2:U$486))/(MAX(U$2:U$486)-MIN(U$2:U$486))*100, 2)), "")</f>
        <v/>
      </c>
      <c r="AC138">
        <f>IF(AND(ISNUMBER(Z138), ISNUMBER(AA138), ISNUMBER(AB138)), ROUND((Z138+AA138+AB138)/3, 2), "")</f>
        <v/>
      </c>
    </row>
    <row r="139">
      <c r="A139" t="n">
        <v>168164285</v>
      </c>
      <c r="B139" t="n">
        <v>1600</v>
      </c>
      <c r="C139" t="inlineStr">
        <is>
          <t>£1,600 pcm</t>
        </is>
      </c>
      <c r="D139" t="inlineStr">
        <is>
          <t>monthly</t>
        </is>
      </c>
      <c r="E139" t="inlineStr">
        <is>
          <t>Maisonette</t>
        </is>
      </c>
      <c r="F139" t="n">
        <v>2</v>
      </c>
      <c r="G139" t="n">
        <v>1</v>
      </c>
      <c r="H139" t="inlineStr">
        <is>
          <t>Croft Close, Chislehurst, BR7</t>
        </is>
      </c>
      <c r="I139" t="inlineStr">
        <is>
          <t>Your Move Eltham are delighted to present this two bedroom first floor maisonette in BR7 within walking distance of Elmstead Woods mainline station. Further internal photographs to follow.</t>
        </is>
      </c>
      <c r="J139" t="inlineStr">
        <is>
          <t>https://www.rightmove.co.uk/properties/168164285#/?channel=RES_LET</t>
        </is>
      </c>
      <c r="K139" t="inlineStr">
        <is>
          <t>/property-to-rent/contactBranch.html?propertyId=168164285</t>
        </is>
      </c>
      <c r="L139" t="inlineStr">
        <is>
          <t>Your Move, Eltham</t>
        </is>
      </c>
      <c r="M139" t="n">
        <v>34806</v>
      </c>
      <c r="N139" t="inlineStr">
        <is>
          <t>Added on 13/10/2025</t>
        </is>
      </c>
      <c r="O139" t="inlineStr">
        <is>
          <t>2025-10-13T15:32:20Z</t>
        </is>
      </c>
      <c r="Q139" t="inlineStr">
        <is>
          <t>BR7</t>
        </is>
      </c>
      <c r="R139" t="inlineStr">
        <is>
          <t>2025-10-16T17:42:18.771017</t>
        </is>
      </c>
      <c r="S139" t="inlineStr">
        <is>
          <t>{'let available date': '08/11/2025', 'deposit': '£1,846', 'min. tenancy': '6 months', 'let type': 'Short term', 'furnish type': 'Unfurnished', 'council tax': 'Ask agent'}</t>
        </is>
      </c>
      <c r="V139" t="b">
        <v>1</v>
      </c>
      <c r="X139" t="n">
        <v>25.84</v>
      </c>
      <c r="Y139" t="n">
        <v>56.9</v>
      </c>
      <c r="Z139">
        <f>IF(AND(ISNUMBER(B139), ISNUMBER(MIN(B$2:B$486)), ISNUMBER(MAX(B$2:B$486))), IF(MAX(B$2:B$486)=MIN(B$2:B$486), 50, ROUND((MAX(B$2:B$486)-B139)/(MAX(B$2:B$486)-MIN(B$2:B$486))*100, 2)), "")</f>
        <v/>
      </c>
      <c r="AA139">
        <f>IF(AND(ISNUMBER(X139), ISNUMBER(MIN(X$2:X$486)), ISNUMBER(MAX(X$2:X$486))), IF(MAX(X$2:X$486)=MIN(X$2:X$486), 50, ROUND((MAX(X$2:X$486)-X139)/(MAX(X$2:X$486)-MIN(X$2:X$486))*100, 2)), "")</f>
        <v/>
      </c>
      <c r="AB139">
        <f>IF(AND(ISNUMBER(U139), ISNUMBER(MIN(U$2:U$486)), ISNUMBER(MAX(U$2:U$486))), IF(MAX(U$2:U$486)=MIN(U$2:U$486), 50, ROUND((U139-MIN(U$2:U$486))/(MAX(U$2:U$486)-MIN(U$2:U$486))*100, 2)), "")</f>
        <v/>
      </c>
      <c r="AC139">
        <f>IF(AND(ISNUMBER(Z139), ISNUMBER(AA139), ISNUMBER(AB139)), ROUND((Z139+AA139+AB139)/3, 2), "")</f>
        <v/>
      </c>
    </row>
    <row r="140">
      <c r="A140" t="n">
        <v>166458062</v>
      </c>
      <c r="B140" t="n">
        <v>1650</v>
      </c>
      <c r="C140" t="inlineStr">
        <is>
          <t>£1,650 pcm</t>
        </is>
      </c>
      <c r="D140" t="inlineStr">
        <is>
          <t>monthly</t>
        </is>
      </c>
      <c r="E140" t="inlineStr">
        <is>
          <t>Flat</t>
        </is>
      </c>
      <c r="F140" t="n">
        <v>2</v>
      </c>
      <c r="G140" t="n">
        <v>1</v>
      </c>
      <c r="H140" t="inlineStr">
        <is>
          <t>Inverine Road, London</t>
        </is>
      </c>
      <c r="I140" t="inlineStr">
        <is>
          <t>Offered fully managed, this two double bedroom spacious flat is located in a highly desirable residential area of Charlton. The flat comprises an entrance hall with stairs to open plan reception/dining area and kitchen, shower room with underfloor heating and two double bedrooms. The kitchen has ...</t>
        </is>
      </c>
      <c r="J140" t="inlineStr">
        <is>
          <t>https://www.rightmove.co.uk/properties/166458062#/?channel=RES_LET</t>
        </is>
      </c>
      <c r="K140" t="inlineStr">
        <is>
          <t>/property-to-rent/contactBranch.html?propertyId=166458062</t>
        </is>
      </c>
      <c r="L140" t="inlineStr">
        <is>
          <t>Feliks Augustine, London</t>
        </is>
      </c>
      <c r="M140" t="n">
        <v>191606</v>
      </c>
      <c r="N140" t="inlineStr">
        <is>
          <t>Reduced on 13/10/2025</t>
        </is>
      </c>
      <c r="O140" t="inlineStr">
        <is>
          <t>2025-09-01T17:05:16Z</t>
        </is>
      </c>
      <c r="R140" t="inlineStr">
        <is>
          <t>2025-10-16T17:42:18.771019</t>
        </is>
      </c>
      <c r="S140" t="inlineStr">
        <is>
          <t>{'let available date': '20/10/2025', 'deposit': '£1,900', 'min. tenancy': 'Ask agent', 'let type': 'Long term', 'furnish type': 'Furnished', 'council tax': 'Ask agent'}</t>
        </is>
      </c>
      <c r="T140" t="n">
        <v>583</v>
      </c>
      <c r="U140" t="n">
        <v>54</v>
      </c>
      <c r="V140" t="b">
        <v>1</v>
      </c>
      <c r="X140" t="n">
        <v>15.93</v>
      </c>
      <c r="Y140" t="n">
        <v>44.4</v>
      </c>
      <c r="Z140">
        <f>IF(AND(ISNUMBER(B140), ISNUMBER(MIN(B$2:B$486)), ISNUMBER(MAX(B$2:B$486))), IF(MAX(B$2:B$486)=MIN(B$2:B$486), 50, ROUND((MAX(B$2:B$486)-B140)/(MAX(B$2:B$486)-MIN(B$2:B$486))*100, 2)), "")</f>
        <v/>
      </c>
      <c r="AA140">
        <f>IF(AND(ISNUMBER(X140), ISNUMBER(MIN(X$2:X$486)), ISNUMBER(MAX(X$2:X$486))), IF(MAX(X$2:X$486)=MIN(X$2:X$486), 50, ROUND((MAX(X$2:X$486)-X140)/(MAX(X$2:X$486)-MIN(X$2:X$486))*100, 2)), "")</f>
        <v/>
      </c>
      <c r="AB140">
        <f>IF(AND(ISNUMBER(U140), ISNUMBER(MIN(U$2:U$486)), ISNUMBER(MAX(U$2:U$486))), IF(MAX(U$2:U$486)=MIN(U$2:U$486), 50, ROUND((U140-MIN(U$2:U$486))/(MAX(U$2:U$486)-MIN(U$2:U$486))*100, 2)), "")</f>
        <v/>
      </c>
      <c r="AC140">
        <f>IF(AND(ISNUMBER(Z140), ISNUMBER(AA140), ISNUMBER(AB140)), ROUND((Z140+AA140+AB140)/3, 2), "")</f>
        <v/>
      </c>
    </row>
    <row r="141">
      <c r="A141" t="n">
        <v>168161399</v>
      </c>
      <c r="B141" t="n">
        <v>1750</v>
      </c>
      <c r="C141" t="inlineStr">
        <is>
          <t>£1,750 pcm</t>
        </is>
      </c>
      <c r="D141" t="inlineStr">
        <is>
          <t>monthly</t>
        </is>
      </c>
      <c r="E141" t="inlineStr">
        <is>
          <t>Apartment</t>
        </is>
      </c>
      <c r="F141" t="n">
        <v>2</v>
      </c>
      <c r="G141" t="n">
        <v>1</v>
      </c>
      <c r="H141" t="inlineStr">
        <is>
          <t>Old Church Road, London, E4</t>
        </is>
      </c>
      <c r="I141" t="inlineStr">
        <is>
          <t>This expansive 2-bedroom flat is found in the heart of Old Church Road in Chingford in between Chingford and Highams Park Overground Stations. The flat is situated on the first floor above a commercial property next to a trendy hairdressers and café. Inside, the property reflect...</t>
        </is>
      </c>
      <c r="J141" t="inlineStr">
        <is>
          <t>https://www.rightmove.co.uk/properties/168161399#/?channel=RES_LET</t>
        </is>
      </c>
      <c r="K141" t="inlineStr">
        <is>
          <t>/property-to-rent/contactBranch.html?propertyId=168161399</t>
        </is>
      </c>
      <c r="L141" t="inlineStr">
        <is>
          <t>Property Inc, Harringay</t>
        </is>
      </c>
      <c r="M141" t="n">
        <v>191252</v>
      </c>
      <c r="N141" t="inlineStr">
        <is>
          <t>Added on 13/10/2025</t>
        </is>
      </c>
      <c r="O141" t="inlineStr">
        <is>
          <t>2025-10-13T15:00:24Z</t>
        </is>
      </c>
      <c r="Q141" t="inlineStr">
        <is>
          <t>E4</t>
        </is>
      </c>
      <c r="R141" t="inlineStr">
        <is>
          <t>2025-10-16T17:42:18.771021</t>
        </is>
      </c>
      <c r="S141" t="inlineStr">
        <is>
          <t>{'let available date': 'Ask agent', 'deposit': '£2,019', 'min. tenancy': 'Ask agent', 'let type': 'Long term', 'furnish type': 'Unfurnished', 'council tax': 'Ask agent'}</t>
        </is>
      </c>
      <c r="V141" t="b">
        <v>1</v>
      </c>
      <c r="X141" t="n">
        <v>19.48</v>
      </c>
      <c r="Y141" t="n">
        <v>57.2</v>
      </c>
      <c r="Z141">
        <f>IF(AND(ISNUMBER(B141), ISNUMBER(MIN(B$2:B$486)), ISNUMBER(MAX(B$2:B$486))), IF(MAX(B$2:B$486)=MIN(B$2:B$486), 50, ROUND((MAX(B$2:B$486)-B141)/(MAX(B$2:B$486)-MIN(B$2:B$486))*100, 2)), "")</f>
        <v/>
      </c>
      <c r="AA141">
        <f>IF(AND(ISNUMBER(X141), ISNUMBER(MIN(X$2:X$486)), ISNUMBER(MAX(X$2:X$486))), IF(MAX(X$2:X$486)=MIN(X$2:X$486), 50, ROUND((MAX(X$2:X$486)-X141)/(MAX(X$2:X$486)-MIN(X$2:X$486))*100, 2)), "")</f>
        <v/>
      </c>
      <c r="AB141">
        <f>IF(AND(ISNUMBER(U141), ISNUMBER(MIN(U$2:U$486)), ISNUMBER(MAX(U$2:U$486))), IF(MAX(U$2:U$486)=MIN(U$2:U$486), 50, ROUND((U141-MIN(U$2:U$486))/(MAX(U$2:U$486)-MIN(U$2:U$486))*100, 2)), "")</f>
        <v/>
      </c>
      <c r="AC141">
        <f>IF(AND(ISNUMBER(Z141), ISNUMBER(AA141), ISNUMBER(AB141)), ROUND((Z141+AA141+AB141)/3, 2), "")</f>
        <v/>
      </c>
    </row>
    <row r="142">
      <c r="A142" t="n">
        <v>95448515</v>
      </c>
      <c r="B142" t="n">
        <v>1750</v>
      </c>
      <c r="C142" t="inlineStr">
        <is>
          <t>£1,750 pcm</t>
        </is>
      </c>
      <c r="D142" t="inlineStr">
        <is>
          <t>monthly</t>
        </is>
      </c>
      <c r="E142" t="inlineStr">
        <is>
          <t>Apartment</t>
        </is>
      </c>
      <c r="F142" t="n">
        <v>2</v>
      </c>
      <c r="G142" t="n">
        <v>1</v>
      </c>
      <c r="H142" t="inlineStr">
        <is>
          <t>Lea Bridge Road, London, E10</t>
        </is>
      </c>
      <c r="I142" t="inlineStr">
        <is>
          <t>Found on the renowned Lea Bridge Road in Leyton and within touching distance of Lea Bridge Train Station and Walthamstow Central Underground Station (Victoria Line – Zone 3) this quirky 2/3 bedroom flat is in the midst of it all. The is situated on the top floor of a charming exposed brick...</t>
        </is>
      </c>
      <c r="J142" t="inlineStr">
        <is>
          <t>https://www.rightmove.co.uk/properties/95448515#/?channel=RES_LET</t>
        </is>
      </c>
      <c r="K142" t="inlineStr">
        <is>
          <t>/property-to-rent/contactBranch.html?propertyId=95448515</t>
        </is>
      </c>
      <c r="L142" t="inlineStr">
        <is>
          <t>Property Inc, Harringay</t>
        </is>
      </c>
      <c r="M142" t="n">
        <v>191252</v>
      </c>
      <c r="N142" t="inlineStr">
        <is>
          <t>Added on 13/10/2025</t>
        </is>
      </c>
      <c r="O142" t="inlineStr">
        <is>
          <t>2020-07-30T02:26:06Z</t>
        </is>
      </c>
      <c r="Q142" t="inlineStr">
        <is>
          <t>E10</t>
        </is>
      </c>
      <c r="R142" t="inlineStr">
        <is>
          <t>2025-10-16T17:42:18.771023</t>
        </is>
      </c>
      <c r="S142" t="inlineStr">
        <is>
          <t>{'let available date': 'Ask agent', 'deposit': '£0', 'min. tenancy': 'Ask agent', 'let type': 'Long term', 'furnish type': 'Part furnished', 'council tax': 'Ask agent'}</t>
        </is>
      </c>
      <c r="V142" t="b">
        <v>1</v>
      </c>
      <c r="X142" t="n">
        <v>12.31</v>
      </c>
      <c r="Y142" t="n">
        <v>49.3</v>
      </c>
      <c r="Z142">
        <f>IF(AND(ISNUMBER(B142), ISNUMBER(MIN(B$2:B$486)), ISNUMBER(MAX(B$2:B$486))), IF(MAX(B$2:B$486)=MIN(B$2:B$486), 50, ROUND((MAX(B$2:B$486)-B142)/(MAX(B$2:B$486)-MIN(B$2:B$486))*100, 2)), "")</f>
        <v/>
      </c>
      <c r="AA142">
        <f>IF(AND(ISNUMBER(X142), ISNUMBER(MIN(X$2:X$486)), ISNUMBER(MAX(X$2:X$486))), IF(MAX(X$2:X$486)=MIN(X$2:X$486), 50, ROUND((MAX(X$2:X$486)-X142)/(MAX(X$2:X$486)-MIN(X$2:X$486))*100, 2)), "")</f>
        <v/>
      </c>
      <c r="AB142">
        <f>IF(AND(ISNUMBER(U142), ISNUMBER(MIN(U$2:U$486)), ISNUMBER(MAX(U$2:U$486))), IF(MAX(U$2:U$486)=MIN(U$2:U$486), 50, ROUND((U142-MIN(U$2:U$486))/(MAX(U$2:U$486)-MIN(U$2:U$486))*100, 2)), "")</f>
        <v/>
      </c>
      <c r="AC142">
        <f>IF(AND(ISNUMBER(Z142), ISNUMBER(AA142), ISNUMBER(AB142)), ROUND((Z142+AA142+AB142)/3, 2), "")</f>
        <v/>
      </c>
    </row>
    <row r="143">
      <c r="A143" t="n">
        <v>167154122</v>
      </c>
      <c r="B143" t="n">
        <v>1550</v>
      </c>
      <c r="C143" t="inlineStr">
        <is>
          <t>£1,550 pcm</t>
        </is>
      </c>
      <c r="D143" t="inlineStr">
        <is>
          <t>monthly</t>
        </is>
      </c>
      <c r="E143" t="inlineStr">
        <is>
          <t>Flat</t>
        </is>
      </c>
      <c r="F143" t="n">
        <v>2</v>
      </c>
      <c r="G143" t="n">
        <v>1</v>
      </c>
      <c r="H143" t="inlineStr">
        <is>
          <t>Bedford Close,Barnet, N10</t>
        </is>
      </c>
      <c r="I143" t="inlineStr">
        <is>
          <t xml:space="preserve">A bright and modern flat available now on Bedford Close, offering 570 sq. ft. of refurbished living space. </t>
        </is>
      </c>
      <c r="J143" t="inlineStr">
        <is>
          <t>https://www.rightmove.co.uk/properties/167154122#/?channel=RES_LET</t>
        </is>
      </c>
      <c r="K143" t="inlineStr">
        <is>
          <t>/property-to-rent/contactBranch.html?propertyId=167154122</t>
        </is>
      </c>
      <c r="L143" t="inlineStr">
        <is>
          <t>Leo Newman, London</t>
        </is>
      </c>
      <c r="M143" t="n">
        <v>98603</v>
      </c>
      <c r="N143" t="inlineStr">
        <is>
          <t>Reduced on 13/10/2025</t>
        </is>
      </c>
      <c r="O143" t="inlineStr">
        <is>
          <t>2025-09-18T15:20:02Z</t>
        </is>
      </c>
      <c r="Q143" t="inlineStr">
        <is>
          <t>N10</t>
        </is>
      </c>
      <c r="R143" t="inlineStr">
        <is>
          <t>2025-10-16T17:42:18.771027</t>
        </is>
      </c>
      <c r="S143" t="inlineStr">
        <is>
          <t>{'let available date': 'Now', 'deposit': '£1,788', 'min. tenancy': 'Ask agent', 'let type': 'Long term', 'furnish type': 'Furnished or unfurnished, landlord is flexible', 'council tax': 'Ask agent'}</t>
        </is>
      </c>
      <c r="T143" t="n">
        <v>570</v>
      </c>
      <c r="U143" t="n">
        <v>53</v>
      </c>
      <c r="V143" t="b">
        <v>1</v>
      </c>
      <c r="X143" t="n">
        <v>11.21</v>
      </c>
      <c r="Y143" t="n">
        <v>42.9</v>
      </c>
      <c r="Z143">
        <f>IF(AND(ISNUMBER(B143), ISNUMBER(MIN(B$2:B$486)), ISNUMBER(MAX(B$2:B$486))), IF(MAX(B$2:B$486)=MIN(B$2:B$486), 50, ROUND((MAX(B$2:B$486)-B143)/(MAX(B$2:B$486)-MIN(B$2:B$486))*100, 2)), "")</f>
        <v/>
      </c>
      <c r="AA143">
        <f>IF(AND(ISNUMBER(X143), ISNUMBER(MIN(X$2:X$486)), ISNUMBER(MAX(X$2:X$486))), IF(MAX(X$2:X$486)=MIN(X$2:X$486), 50, ROUND((MAX(X$2:X$486)-X143)/(MAX(X$2:X$486)-MIN(X$2:X$486))*100, 2)), "")</f>
        <v/>
      </c>
      <c r="AB143">
        <f>IF(AND(ISNUMBER(U143), ISNUMBER(MIN(U$2:U$486)), ISNUMBER(MAX(U$2:U$486))), IF(MAX(U$2:U$486)=MIN(U$2:U$486), 50, ROUND((U143-MIN(U$2:U$486))/(MAX(U$2:U$486)-MIN(U$2:U$486))*100, 2)), "")</f>
        <v/>
      </c>
      <c r="AC143">
        <f>IF(AND(ISNUMBER(Z143), ISNUMBER(AA143), ISNUMBER(AB143)), ROUND((Z143+AA143+AB143)/3, 2), "")</f>
        <v/>
      </c>
    </row>
    <row r="144">
      <c r="A144" t="n">
        <v>168154103</v>
      </c>
      <c r="B144" t="n">
        <v>1700</v>
      </c>
      <c r="C144" t="inlineStr">
        <is>
          <t>£1,700 pcm</t>
        </is>
      </c>
      <c r="D144" t="inlineStr">
        <is>
          <t>monthly</t>
        </is>
      </c>
      <c r="E144" t="inlineStr">
        <is>
          <t>Flat</t>
        </is>
      </c>
      <c r="F144" t="n">
        <v>2</v>
      </c>
      <c r="G144" t="n">
        <v>0</v>
      </c>
      <c r="H144" t="inlineStr">
        <is>
          <t>Lyndhurst Road, Wood Green, N22</t>
        </is>
      </c>
      <c r="I144" t="inlineStr">
        <is>
          <t xml:space="preserve">A well presented 2-bedroom ground floor furnished flat with its own use of a rear garden. Ideally located on a quiet residential road off Green Lanes, within walking distance of both Wood Green underground and Bowes Park BR station </t>
        </is>
      </c>
      <c r="J144" t="inlineStr">
        <is>
          <t>https://www.rightmove.co.uk/properties/168154103#/?channel=RES_LET</t>
        </is>
      </c>
      <c r="K144" t="inlineStr">
        <is>
          <t>/property-to-rent/contactBranch.html?propertyId=168154103</t>
        </is>
      </c>
      <c r="L144" t="inlineStr">
        <is>
          <t>Castles Estate Agents, Palmers Green - Lettings</t>
        </is>
      </c>
      <c r="M144" t="n">
        <v>257141</v>
      </c>
      <c r="N144" t="inlineStr">
        <is>
          <t>Added on 13/10/2025</t>
        </is>
      </c>
      <c r="O144" t="inlineStr">
        <is>
          <t>2025-10-13T13:25:07Z</t>
        </is>
      </c>
      <c r="Q144" t="inlineStr">
        <is>
          <t>N22</t>
        </is>
      </c>
      <c r="R144" t="inlineStr">
        <is>
          <t>2025-10-16T17:42:18.771031</t>
        </is>
      </c>
      <c r="S144" t="inlineStr">
        <is>
          <t>{'let available date': 'Now', 'deposit': '£1,961', 'min. tenancy': 'Ask agent', 'let type': 'Long term', 'furnish type': 'Furnished or unfurnished, landlord is flexible', 'council tax': 'Ask agent'}</t>
        </is>
      </c>
      <c r="V144" t="b">
        <v>1</v>
      </c>
      <c r="X144" t="n">
        <v>12.67</v>
      </c>
      <c r="Y144" t="n">
        <v>48.1</v>
      </c>
      <c r="Z144">
        <f>IF(AND(ISNUMBER(B144), ISNUMBER(MIN(B$2:B$486)), ISNUMBER(MAX(B$2:B$486))), IF(MAX(B$2:B$486)=MIN(B$2:B$486), 50, ROUND((MAX(B$2:B$486)-B144)/(MAX(B$2:B$486)-MIN(B$2:B$486))*100, 2)), "")</f>
        <v/>
      </c>
      <c r="AA144">
        <f>IF(AND(ISNUMBER(X144), ISNUMBER(MIN(X$2:X$486)), ISNUMBER(MAX(X$2:X$486))), IF(MAX(X$2:X$486)=MIN(X$2:X$486), 50, ROUND((MAX(X$2:X$486)-X144)/(MAX(X$2:X$486)-MIN(X$2:X$486))*100, 2)), "")</f>
        <v/>
      </c>
      <c r="AB144">
        <f>IF(AND(ISNUMBER(U144), ISNUMBER(MIN(U$2:U$486)), ISNUMBER(MAX(U$2:U$486))), IF(MAX(U$2:U$486)=MIN(U$2:U$486), 50, ROUND((U144-MIN(U$2:U$486))/(MAX(U$2:U$486)-MIN(U$2:U$486))*100, 2)), "")</f>
        <v/>
      </c>
      <c r="AC144">
        <f>IF(AND(ISNUMBER(Z144), ISNUMBER(AA144), ISNUMBER(AB144)), ROUND((Z144+AA144+AB144)/3, 2), "")</f>
        <v/>
      </c>
    </row>
    <row r="145">
      <c r="A145" t="n">
        <v>168148853</v>
      </c>
      <c r="B145" t="n">
        <v>1600</v>
      </c>
      <c r="C145" t="inlineStr">
        <is>
          <t>£1,600 pcm</t>
        </is>
      </c>
      <c r="D145" t="inlineStr">
        <is>
          <t>monthly</t>
        </is>
      </c>
      <c r="E145" t="inlineStr">
        <is>
          <t>Apartment</t>
        </is>
      </c>
      <c r="F145" t="n">
        <v>2</v>
      </c>
      <c r="G145" t="n">
        <v>1</v>
      </c>
      <c r="H145" t="inlineStr">
        <is>
          <t>Westmead Road, Sutton, SM1</t>
        </is>
      </c>
      <c r="I145" t="inlineStr">
        <is>
          <t>James Bailey is proud to present this gorgeous two double bedroom ground floor maisonette Available Immediately on an Unfurnished basis. The property boasts two double bedrooms, a large open plan reception room with a fitted kitchen and a modern shower room. The apartment benefits from allocated ...</t>
        </is>
      </c>
      <c r="J145" t="inlineStr">
        <is>
          <t>https://www.rightmove.co.uk/properties/168148853#/?channel=RES_LET</t>
        </is>
      </c>
      <c r="K145" t="inlineStr">
        <is>
          <t>/property-to-rent/contactBranch.html?propertyId=168148853</t>
        </is>
      </c>
      <c r="L145" t="inlineStr">
        <is>
          <t>James Bailey Sales &amp; Lettings, Cheam</t>
        </is>
      </c>
      <c r="M145" t="n">
        <v>237941</v>
      </c>
      <c r="N145" t="inlineStr">
        <is>
          <t>Added on 13/10/2025</t>
        </is>
      </c>
      <c r="O145" t="inlineStr">
        <is>
          <t>2025-10-13T12:09:39Z</t>
        </is>
      </c>
      <c r="Q145" t="inlineStr">
        <is>
          <t>SM1</t>
        </is>
      </c>
      <c r="R145" t="inlineStr">
        <is>
          <t>2025-10-16T17:42:18.771033</t>
        </is>
      </c>
      <c r="S145" t="inlineStr">
        <is>
          <t>{'let available date': 'Ask agent', 'deposit': '£1,846', 'min. tenancy': '12 months', 'let type': 'Long term', 'furnish type': 'Unfurnished', 'council tax': 'Ask agent'}</t>
        </is>
      </c>
      <c r="T145" t="n">
        <v>649</v>
      </c>
      <c r="U145" t="n">
        <v>60</v>
      </c>
      <c r="V145" t="b">
        <v>1</v>
      </c>
      <c r="X145" t="n">
        <v>20.15</v>
      </c>
      <c r="Y145" t="n">
        <v>60.7</v>
      </c>
      <c r="Z145">
        <f>IF(AND(ISNUMBER(B145), ISNUMBER(MIN(B$2:B$486)), ISNUMBER(MAX(B$2:B$486))), IF(MAX(B$2:B$486)=MIN(B$2:B$486), 50, ROUND((MAX(B$2:B$486)-B145)/(MAX(B$2:B$486)-MIN(B$2:B$486))*100, 2)), "")</f>
        <v/>
      </c>
      <c r="AA145">
        <f>IF(AND(ISNUMBER(X145), ISNUMBER(MIN(X$2:X$486)), ISNUMBER(MAX(X$2:X$486))), IF(MAX(X$2:X$486)=MIN(X$2:X$486), 50, ROUND((MAX(X$2:X$486)-X145)/(MAX(X$2:X$486)-MIN(X$2:X$486))*100, 2)), "")</f>
        <v/>
      </c>
      <c r="AB145">
        <f>IF(AND(ISNUMBER(U145), ISNUMBER(MIN(U$2:U$486)), ISNUMBER(MAX(U$2:U$486))), IF(MAX(U$2:U$486)=MIN(U$2:U$486), 50, ROUND((U145-MIN(U$2:U$486))/(MAX(U$2:U$486)-MIN(U$2:U$486))*100, 2)), "")</f>
        <v/>
      </c>
      <c r="AC145">
        <f>IF(AND(ISNUMBER(Z145), ISNUMBER(AA145), ISNUMBER(AB145)), ROUND((Z145+AA145+AB145)/3, 2), "")</f>
        <v/>
      </c>
    </row>
    <row r="146">
      <c r="A146" t="n">
        <v>168147797</v>
      </c>
      <c r="B146" t="n">
        <v>1650</v>
      </c>
      <c r="C146" t="inlineStr">
        <is>
          <t>£1,650 pcm</t>
        </is>
      </c>
      <c r="D146" t="inlineStr">
        <is>
          <t>monthly</t>
        </is>
      </c>
      <c r="E146" t="inlineStr">
        <is>
          <t>Apartment</t>
        </is>
      </c>
      <c r="F146" t="n">
        <v>2</v>
      </c>
      <c r="G146" t="n">
        <v>1</v>
      </c>
      <c r="H146" t="inlineStr">
        <is>
          <t>Westmead Road, Sutton, SM1</t>
        </is>
      </c>
      <c r="I146" t="inlineStr">
        <is>
          <t>James Bailey is proud to present this gorgeous two double bedroom first floor maisonette Available Immediately and on an Unfurnished. The property boasts two double bedrooms, a large open plan reception room with a fitted kitchen and a modern shower room. The property benefits from allocated park...</t>
        </is>
      </c>
      <c r="J146" t="inlineStr">
        <is>
          <t>https://www.rightmove.co.uk/properties/168147797#/?channel=RES_LET</t>
        </is>
      </c>
      <c r="K146" t="inlineStr">
        <is>
          <t>/property-to-rent/contactBranch.html?propertyId=168147797</t>
        </is>
      </c>
      <c r="L146" t="inlineStr">
        <is>
          <t>James Bailey Sales &amp; Lettings, Cheam</t>
        </is>
      </c>
      <c r="M146" t="n">
        <v>237941</v>
      </c>
      <c r="N146" t="inlineStr">
        <is>
          <t>Added on 13/10/2025</t>
        </is>
      </c>
      <c r="O146" t="inlineStr">
        <is>
          <t>2025-10-13T11:56:28Z</t>
        </is>
      </c>
      <c r="Q146" t="inlineStr">
        <is>
          <t>SM1</t>
        </is>
      </c>
      <c r="R146" t="inlineStr">
        <is>
          <t>2025-10-16T17:42:18.771037</t>
        </is>
      </c>
      <c r="S146" t="inlineStr">
        <is>
          <t>{'let available date': 'Ask agent', 'deposit': '£1,903', 'min. tenancy': '12 months', 'let type': 'Long term', 'furnish type': 'Unfurnished', 'council tax': 'Ask agent'}</t>
        </is>
      </c>
      <c r="T146" t="n">
        <v>686</v>
      </c>
      <c r="U146" t="n">
        <v>64</v>
      </c>
      <c r="V146" t="b">
        <v>1</v>
      </c>
      <c r="X146" t="n">
        <v>20.15</v>
      </c>
      <c r="Y146" t="n">
        <v>60.7</v>
      </c>
      <c r="Z146">
        <f>IF(AND(ISNUMBER(B146), ISNUMBER(MIN(B$2:B$486)), ISNUMBER(MAX(B$2:B$486))), IF(MAX(B$2:B$486)=MIN(B$2:B$486), 50, ROUND((MAX(B$2:B$486)-B146)/(MAX(B$2:B$486)-MIN(B$2:B$486))*100, 2)), "")</f>
        <v/>
      </c>
      <c r="AA146">
        <f>IF(AND(ISNUMBER(X146), ISNUMBER(MIN(X$2:X$486)), ISNUMBER(MAX(X$2:X$486))), IF(MAX(X$2:X$486)=MIN(X$2:X$486), 50, ROUND((MAX(X$2:X$486)-X146)/(MAX(X$2:X$486)-MIN(X$2:X$486))*100, 2)), "")</f>
        <v/>
      </c>
      <c r="AB146">
        <f>IF(AND(ISNUMBER(U146), ISNUMBER(MIN(U$2:U$486)), ISNUMBER(MAX(U$2:U$486))), IF(MAX(U$2:U$486)=MIN(U$2:U$486), 50, ROUND((U146-MIN(U$2:U$486))/(MAX(U$2:U$486)-MIN(U$2:U$486))*100, 2)), "")</f>
        <v/>
      </c>
      <c r="AC146">
        <f>IF(AND(ISNUMBER(Z146), ISNUMBER(AA146), ISNUMBER(AB146)), ROUND((Z146+AA146+AB146)/3, 2), "")</f>
        <v/>
      </c>
    </row>
    <row r="147">
      <c r="A147" t="n">
        <v>168147431</v>
      </c>
      <c r="B147" t="n">
        <v>1750</v>
      </c>
      <c r="C147" t="inlineStr">
        <is>
          <t>£1,750 pcm</t>
        </is>
      </c>
      <c r="D147" t="inlineStr">
        <is>
          <t>monthly</t>
        </is>
      </c>
      <c r="E147" t="inlineStr">
        <is>
          <t>Flat</t>
        </is>
      </c>
      <c r="F147" t="n">
        <v>2</v>
      </c>
      <c r="G147" t="n">
        <v>1</v>
      </c>
      <c r="H147" t="inlineStr">
        <is>
          <t>St. Aidans Road, Southwark, SE22</t>
        </is>
      </c>
      <c r="I147" t="inlineStr">
        <is>
          <t>Hindwoods are delighted to welcome to the market, this well presented two bedroom first floor flat, with its own section of rear garden.Situated between Peckham Rye and Underhill Road and within just over a mile of Honor Oak Park, East Dulwich and Peckham Rye stations.</t>
        </is>
      </c>
      <c r="J147" t="inlineStr">
        <is>
          <t>https://www.rightmove.co.uk/properties/168147431#/?channel=RES_LET</t>
        </is>
      </c>
      <c r="K147" t="inlineStr">
        <is>
          <t>/property-to-rent/contactBranch.html?propertyId=168147431</t>
        </is>
      </c>
      <c r="L147" t="inlineStr">
        <is>
          <t>Hindwoods, Greenwich</t>
        </is>
      </c>
      <c r="M147" t="n">
        <v>37574</v>
      </c>
      <c r="N147" t="inlineStr">
        <is>
          <t>Added on 13/10/2025</t>
        </is>
      </c>
      <c r="O147" t="inlineStr">
        <is>
          <t>2025-10-13T11:51:37Z</t>
        </is>
      </c>
      <c r="Q147" t="inlineStr">
        <is>
          <t>SE22</t>
        </is>
      </c>
      <c r="R147" t="inlineStr">
        <is>
          <t>2025-10-16T17:42:18.771038</t>
        </is>
      </c>
      <c r="S147" t="inlineStr">
        <is>
          <t>{'let available date': 'Ask agent', 'deposit': '£2,019', 'min. tenancy': 'Ask agent', 'let type': 'Long term', 'furnish type': 'Ask agent', 'council tax': 'Ask agent'}</t>
        </is>
      </c>
      <c r="V147" t="b">
        <v>1</v>
      </c>
      <c r="X147" t="n">
        <v>10.29</v>
      </c>
      <c r="Y147" t="n">
        <v>39.1</v>
      </c>
      <c r="Z147">
        <f>IF(AND(ISNUMBER(B147), ISNUMBER(MIN(B$2:B$486)), ISNUMBER(MAX(B$2:B$486))), IF(MAX(B$2:B$486)=MIN(B$2:B$486), 50, ROUND((MAX(B$2:B$486)-B147)/(MAX(B$2:B$486)-MIN(B$2:B$486))*100, 2)), "")</f>
        <v/>
      </c>
      <c r="AA147">
        <f>IF(AND(ISNUMBER(X147), ISNUMBER(MIN(X$2:X$486)), ISNUMBER(MAX(X$2:X$486))), IF(MAX(X$2:X$486)=MIN(X$2:X$486), 50, ROUND((MAX(X$2:X$486)-X147)/(MAX(X$2:X$486)-MIN(X$2:X$486))*100, 2)), "")</f>
        <v/>
      </c>
      <c r="AB147">
        <f>IF(AND(ISNUMBER(U147), ISNUMBER(MIN(U$2:U$486)), ISNUMBER(MAX(U$2:U$486))), IF(MAX(U$2:U$486)=MIN(U$2:U$486), 50, ROUND((U147-MIN(U$2:U$486))/(MAX(U$2:U$486)-MIN(U$2:U$486))*100, 2)), "")</f>
        <v/>
      </c>
      <c r="AC147">
        <f>IF(AND(ISNUMBER(Z147), ISNUMBER(AA147), ISNUMBER(AB147)), ROUND((Z147+AA147+AB147)/3, 2), "")</f>
        <v/>
      </c>
    </row>
    <row r="148">
      <c r="A148" t="n">
        <v>167518313</v>
      </c>
      <c r="B148" t="n">
        <v>380</v>
      </c>
      <c r="C148" t="inlineStr">
        <is>
          <t>£1,647 pcm</t>
        </is>
      </c>
      <c r="D148" t="inlineStr">
        <is>
          <t>weekly</t>
        </is>
      </c>
      <c r="E148" t="inlineStr">
        <is>
          <t>Flat</t>
        </is>
      </c>
      <c r="F148" t="n">
        <v>2</v>
      </c>
      <c r="G148" t="n">
        <v>1</v>
      </c>
      <c r="H148" t="inlineStr">
        <is>
          <t>Hendon Lane, Finchley, N3</t>
        </is>
      </c>
      <c r="I148" t="inlineStr">
        <is>
          <t>A delightful two double bedroom apartment situated only moments to Finchley Central Underground Station. Newly decorated throughout, this bright and airy property benefits from family bathroom, open plan kitchen with integrated white goods, spacious reception and two good sized double bedrooms. ...</t>
        </is>
      </c>
      <c r="J148" t="inlineStr">
        <is>
          <t>https://www.rightmove.co.uk/properties/167518313#/?channel=RES_LET</t>
        </is>
      </c>
      <c r="K148" t="inlineStr">
        <is>
          <t>/property-to-rent/contactBranch.html?propertyId=167518313</t>
        </is>
      </c>
      <c r="L148" t="inlineStr">
        <is>
          <t>Primden Group, Camden</t>
        </is>
      </c>
      <c r="M148" t="n">
        <v>261275</v>
      </c>
      <c r="N148" t="inlineStr">
        <is>
          <t>Reduced on 13/10/2025</t>
        </is>
      </c>
      <c r="O148" t="inlineStr">
        <is>
          <t>2025-09-27T08:10:26Z</t>
        </is>
      </c>
      <c r="Q148" t="inlineStr">
        <is>
          <t>N3</t>
        </is>
      </c>
      <c r="R148" t="inlineStr">
        <is>
          <t>2025-10-16T17:42:18.771041</t>
        </is>
      </c>
      <c r="S148" t="inlineStr">
        <is>
          <t>{'let available date': 'Now', 'deposit': '£1,903', 'min. tenancy': 'Ask agent', 'let type': 'Long term', 'furnish type': 'Furnished', 'council tax': 'Ask agent'}</t>
        </is>
      </c>
      <c r="V148" t="b">
        <v>1</v>
      </c>
      <c r="X148" t="n">
        <v>13.41</v>
      </c>
      <c r="Y148" t="n">
        <v>45.8</v>
      </c>
      <c r="Z148">
        <f>IF(AND(ISNUMBER(B148), ISNUMBER(MIN(B$2:B$486)), ISNUMBER(MAX(B$2:B$486))), IF(MAX(B$2:B$486)=MIN(B$2:B$486), 50, ROUND((MAX(B$2:B$486)-B148)/(MAX(B$2:B$486)-MIN(B$2:B$486))*100, 2)), "")</f>
        <v/>
      </c>
      <c r="AA148">
        <f>IF(AND(ISNUMBER(X148), ISNUMBER(MIN(X$2:X$486)), ISNUMBER(MAX(X$2:X$486))), IF(MAX(X$2:X$486)=MIN(X$2:X$486), 50, ROUND((MAX(X$2:X$486)-X148)/(MAX(X$2:X$486)-MIN(X$2:X$486))*100, 2)), "")</f>
        <v/>
      </c>
      <c r="AB148">
        <f>IF(AND(ISNUMBER(U148), ISNUMBER(MIN(U$2:U$486)), ISNUMBER(MAX(U$2:U$486))), IF(MAX(U$2:U$486)=MIN(U$2:U$486), 50, ROUND((U148-MIN(U$2:U$486))/(MAX(U$2:U$486)-MIN(U$2:U$486))*100, 2)), "")</f>
        <v/>
      </c>
      <c r="AC148">
        <f>IF(AND(ISNUMBER(Z148), ISNUMBER(AA148), ISNUMBER(AB148)), ROUND((Z148+AA148+AB148)/3, 2), "")</f>
        <v/>
      </c>
    </row>
    <row r="149">
      <c r="A149" t="n">
        <v>167320997</v>
      </c>
      <c r="B149" t="n">
        <v>1650</v>
      </c>
      <c r="C149" t="inlineStr">
        <is>
          <t>£1,650 pcm</t>
        </is>
      </c>
      <c r="D149" t="inlineStr">
        <is>
          <t>monthly</t>
        </is>
      </c>
      <c r="E149" t="inlineStr">
        <is>
          <t>Terraced</t>
        </is>
      </c>
      <c r="F149" t="n">
        <v>2</v>
      </c>
      <c r="G149" t="n">
        <v>1</v>
      </c>
      <c r="H149" t="inlineStr">
        <is>
          <t>Winchcombe Road, Carshalton, SM5</t>
        </is>
      </c>
      <c r="I149" t="inlineStr">
        <is>
          <t>A lovely two bedroom terraced house with private garden and parking to rear. Situated in a popular residential area, it is within 1.1 of a mile walk to Mitcham railway station and 0.2 of a mile walk to local shops and parks. The property was refurbished throughout three years ago with modern f...</t>
        </is>
      </c>
      <c r="J149" t="inlineStr">
        <is>
          <t>https://www.rightmove.co.uk/properties/167320997#/?channel=RES_LET</t>
        </is>
      </c>
      <c r="K149" t="inlineStr">
        <is>
          <t>/property-to-rent/contactBranch.html?propertyId=167320997</t>
        </is>
      </c>
      <c r="L149" t="inlineStr">
        <is>
          <t>Homecare Estates, Wallington</t>
        </is>
      </c>
      <c r="M149" t="n">
        <v>8828</v>
      </c>
      <c r="N149" t="inlineStr">
        <is>
          <t>Reduced on 13/10/2025</t>
        </is>
      </c>
      <c r="O149" t="inlineStr">
        <is>
          <t>2025-09-23T15:59:33Z</t>
        </is>
      </c>
      <c r="Q149" t="inlineStr">
        <is>
          <t>SM5</t>
        </is>
      </c>
      <c r="R149" t="inlineStr">
        <is>
          <t>2025-10-16T17:42:20.204463</t>
        </is>
      </c>
      <c r="S149" t="inlineStr">
        <is>
          <t>{'let available date': '01/11/2025', 'deposit': '£1,903', 'min. tenancy': '12 months', 'let type': 'Long term', 'furnish type': 'Unfurnished', 'council tax': 'Ask agent'}</t>
        </is>
      </c>
      <c r="V149" t="b">
        <v>1</v>
      </c>
      <c r="X149" t="n">
        <v>21.04</v>
      </c>
      <c r="Y149" t="n">
        <v>65.59999999999999</v>
      </c>
      <c r="Z149">
        <f>IF(AND(ISNUMBER(B149), ISNUMBER(MIN(B$2:B$486)), ISNUMBER(MAX(B$2:B$486))), IF(MAX(B$2:B$486)=MIN(B$2:B$486), 50, ROUND((MAX(B$2:B$486)-B149)/(MAX(B$2:B$486)-MIN(B$2:B$486))*100, 2)), "")</f>
        <v/>
      </c>
      <c r="AA149">
        <f>IF(AND(ISNUMBER(X149), ISNUMBER(MIN(X$2:X$486)), ISNUMBER(MAX(X$2:X$486))), IF(MAX(X$2:X$486)=MIN(X$2:X$486), 50, ROUND((MAX(X$2:X$486)-X149)/(MAX(X$2:X$486)-MIN(X$2:X$486))*100, 2)), "")</f>
        <v/>
      </c>
      <c r="AB149">
        <f>IF(AND(ISNUMBER(U149), ISNUMBER(MIN(U$2:U$486)), ISNUMBER(MAX(U$2:U$486))), IF(MAX(U$2:U$486)=MIN(U$2:U$486), 50, ROUND((U149-MIN(U$2:U$486))/(MAX(U$2:U$486)-MIN(U$2:U$486))*100, 2)), "")</f>
        <v/>
      </c>
      <c r="AC149">
        <f>IF(AND(ISNUMBER(Z149), ISNUMBER(AA149), ISNUMBER(AB149)), ROUND((Z149+AA149+AB149)/3, 2), "")</f>
        <v/>
      </c>
    </row>
    <row r="150">
      <c r="A150" t="n">
        <v>168141434</v>
      </c>
      <c r="B150" t="n">
        <v>1700</v>
      </c>
      <c r="C150" t="inlineStr">
        <is>
          <t>£1,700 pcm</t>
        </is>
      </c>
      <c r="D150" t="inlineStr">
        <is>
          <t>monthly</t>
        </is>
      </c>
      <c r="E150" t="inlineStr">
        <is>
          <t>Apartment</t>
        </is>
      </c>
      <c r="F150" t="n">
        <v>2</v>
      </c>
      <c r="G150" t="n">
        <v>2</v>
      </c>
      <c r="H150" t="inlineStr">
        <is>
          <t>Northumberland House, Wellesley road, Sutton, Sutton, Flat</t>
        </is>
      </c>
      <c r="I150" t="inlineStr">
        <is>
          <t>New to the market bright and spacious 2 bed 2 bath property Located in the heart of Sutton, a short walk from Sutton train station.</t>
        </is>
      </c>
      <c r="J150" t="inlineStr">
        <is>
          <t>https://www.rightmove.co.uk/properties/168141434#/?channel=RES_LET</t>
        </is>
      </c>
      <c r="K150" t="inlineStr">
        <is>
          <t>/property-to-rent/contactBranch.html?propertyId=168141434</t>
        </is>
      </c>
      <c r="L150" t="inlineStr">
        <is>
          <t>DSTRKT, DSTRKT</t>
        </is>
      </c>
      <c r="M150" t="n">
        <v>238433</v>
      </c>
      <c r="N150" t="inlineStr">
        <is>
          <t>Added on 13/10/2025</t>
        </is>
      </c>
      <c r="O150" t="inlineStr">
        <is>
          <t>2025-10-13T10:33:02Z</t>
        </is>
      </c>
      <c r="R150" t="inlineStr">
        <is>
          <t>2025-10-16T17:42:20.204466</t>
        </is>
      </c>
      <c r="S150" t="inlineStr">
        <is>
          <t>{'let available date': '23/10/2025', 'deposit': '£1,961', 'min. tenancy': 'Ask agent', 'let type': 'Long term', 'furnish type': 'Unfurnished', 'council tax': 'Ask agent'}</t>
        </is>
      </c>
      <c r="V150" t="b">
        <v>1</v>
      </c>
      <c r="X150" t="n">
        <v>22.62</v>
      </c>
      <c r="Y150" t="n">
        <v>65.59999999999999</v>
      </c>
      <c r="Z150">
        <f>IF(AND(ISNUMBER(B150), ISNUMBER(MIN(B$2:B$486)), ISNUMBER(MAX(B$2:B$486))), IF(MAX(B$2:B$486)=MIN(B$2:B$486), 50, ROUND((MAX(B$2:B$486)-B150)/(MAX(B$2:B$486)-MIN(B$2:B$486))*100, 2)), "")</f>
        <v/>
      </c>
      <c r="AA150">
        <f>IF(AND(ISNUMBER(X150), ISNUMBER(MIN(X$2:X$486)), ISNUMBER(MAX(X$2:X$486))), IF(MAX(X$2:X$486)=MIN(X$2:X$486), 50, ROUND((MAX(X$2:X$486)-X150)/(MAX(X$2:X$486)-MIN(X$2:X$486))*100, 2)), "")</f>
        <v/>
      </c>
      <c r="AB150">
        <f>IF(AND(ISNUMBER(U150), ISNUMBER(MIN(U$2:U$486)), ISNUMBER(MAX(U$2:U$486))), IF(MAX(U$2:U$486)=MIN(U$2:U$486), 50, ROUND((U150-MIN(U$2:U$486))/(MAX(U$2:U$486)-MIN(U$2:U$486))*100, 2)), "")</f>
        <v/>
      </c>
      <c r="AC150">
        <f>IF(AND(ISNUMBER(Z150), ISNUMBER(AA150), ISNUMBER(AB150)), ROUND((Z150+AA150+AB150)/3, 2), "")</f>
        <v/>
      </c>
    </row>
    <row r="151">
      <c r="A151" t="n">
        <v>167064497</v>
      </c>
      <c r="B151" t="n">
        <v>1725</v>
      </c>
      <c r="C151" t="inlineStr">
        <is>
          <t>£1,725 pcm</t>
        </is>
      </c>
      <c r="D151" t="inlineStr">
        <is>
          <t>monthly</t>
        </is>
      </c>
      <c r="E151" t="inlineStr">
        <is>
          <t>Flat</t>
        </is>
      </c>
      <c r="F151" t="n">
        <v>2</v>
      </c>
      <c r="G151" t="n">
        <v>1</v>
      </c>
      <c r="H151" t="inlineStr">
        <is>
          <t>Kings Road, Upper Leytonstone, E11</t>
        </is>
      </c>
      <c r="I151" t="inlineStr">
        <is>
          <t>Nestled on one of Upper Leytonstone's sought after residential streets, this spacious two-bedroom first-floor flat effortlessly combines style, space, and location. Just a short stroll from Leytonstone Central Line station and well-served by an array of bus and bike routes, you'll enjoy seamless con</t>
        </is>
      </c>
      <c r="J151" t="inlineStr">
        <is>
          <t>https://www.rightmove.co.uk/properties/167064497#/?channel=RES_LET</t>
        </is>
      </c>
      <c r="K151" t="inlineStr">
        <is>
          <t>/property-to-rent/contactBranch.html?propertyId=167064497</t>
        </is>
      </c>
      <c r="L151" t="inlineStr">
        <is>
          <t>Theydons, East London - Lettings</t>
        </is>
      </c>
      <c r="M151" t="n">
        <v>61988</v>
      </c>
      <c r="N151" t="inlineStr">
        <is>
          <t>Added on 13/10/2025</t>
        </is>
      </c>
      <c r="O151" t="inlineStr">
        <is>
          <t>2025-09-16T16:57:51Z</t>
        </is>
      </c>
      <c r="Q151" t="inlineStr">
        <is>
          <t>E11</t>
        </is>
      </c>
      <c r="R151" t="inlineStr">
        <is>
          <t>2025-10-16T17:42:20.204473</t>
        </is>
      </c>
      <c r="S151" t="inlineStr">
        <is>
          <t>{'let available date': '20/10/2025', 'deposit': 'Ask agent', 'min. tenancy': 'Ask agent', 'let type': 'Long term', 'furnish type': 'Unfurnished', 'council tax': 'Ask agent'}</t>
        </is>
      </c>
      <c r="V151" t="b">
        <v>1</v>
      </c>
      <c r="X151" t="n">
        <v>13.87</v>
      </c>
      <c r="Y151" t="n">
        <v>45.6</v>
      </c>
      <c r="Z151">
        <f>IF(AND(ISNUMBER(B151), ISNUMBER(MIN(B$2:B$486)), ISNUMBER(MAX(B$2:B$486))), IF(MAX(B$2:B$486)=MIN(B$2:B$486), 50, ROUND((MAX(B$2:B$486)-B151)/(MAX(B$2:B$486)-MIN(B$2:B$486))*100, 2)), "")</f>
        <v/>
      </c>
      <c r="AA151">
        <f>IF(AND(ISNUMBER(X151), ISNUMBER(MIN(X$2:X$486)), ISNUMBER(MAX(X$2:X$486))), IF(MAX(X$2:X$486)=MIN(X$2:X$486), 50, ROUND((MAX(X$2:X$486)-X151)/(MAX(X$2:X$486)-MIN(X$2:X$486))*100, 2)), "")</f>
        <v/>
      </c>
      <c r="AB151">
        <f>IF(AND(ISNUMBER(U151), ISNUMBER(MIN(U$2:U$486)), ISNUMBER(MAX(U$2:U$486))), IF(MAX(U$2:U$486)=MIN(U$2:U$486), 50, ROUND((U151-MIN(U$2:U$486))/(MAX(U$2:U$486)-MIN(U$2:U$486))*100, 2)), "")</f>
        <v/>
      </c>
      <c r="AC151">
        <f>IF(AND(ISNUMBER(Z151), ISNUMBER(AA151), ISNUMBER(AB151)), ROUND((Z151+AA151+AB151)/3, 2), "")</f>
        <v/>
      </c>
    </row>
    <row r="152">
      <c r="A152" t="n">
        <v>167207633</v>
      </c>
      <c r="B152" t="n">
        <v>1550</v>
      </c>
      <c r="C152" t="inlineStr">
        <is>
          <t>£1,550 pcm</t>
        </is>
      </c>
      <c r="D152" t="inlineStr">
        <is>
          <t>monthly</t>
        </is>
      </c>
      <c r="E152" t="inlineStr">
        <is>
          <t>Flat</t>
        </is>
      </c>
      <c r="F152" t="n">
        <v>2</v>
      </c>
      <c r="G152" t="n">
        <v>1</v>
      </c>
      <c r="H152" t="inlineStr">
        <is>
          <t>Victoria Road, Hendon, NW4</t>
        </is>
      </c>
      <c r="I152" t="inlineStr">
        <is>
          <t>Newly decorated two double bedroom apartment set on the second floor of a converted house. The apartment further comprises of a bright reception room, separate kitchen, family bathroom and is available immediately. Located moments from amenities on Brent Street.</t>
        </is>
      </c>
      <c r="J152" t="inlineStr">
        <is>
          <t>https://www.rightmove.co.uk/properties/167207633#/?channel=RES_LET</t>
        </is>
      </c>
      <c r="K152" t="inlineStr">
        <is>
          <t>/property-to-rent/contactBranch.html?propertyId=167207633</t>
        </is>
      </c>
      <c r="L152" t="inlineStr">
        <is>
          <t>Roundtree Real Estate, London</t>
        </is>
      </c>
      <c r="M152" t="n">
        <v>46965</v>
      </c>
      <c r="N152" t="inlineStr">
        <is>
          <t>Reduced on 13/10/2025</t>
        </is>
      </c>
      <c r="O152" t="inlineStr">
        <is>
          <t>2025-09-19T16:40:38Z</t>
        </is>
      </c>
      <c r="Q152" t="inlineStr">
        <is>
          <t>NW4</t>
        </is>
      </c>
      <c r="R152" t="inlineStr">
        <is>
          <t>2025-10-16T17:42:20.204477</t>
        </is>
      </c>
      <c r="S152" t="inlineStr">
        <is>
          <t>{'let available date': 'Now', 'deposit': '£1,788', 'min. tenancy': 'Ask agent', 'let type': 'Long term', 'furnish type': 'Unfurnished', 'council tax': 'Ask agent'}</t>
        </is>
      </c>
      <c r="V152" t="b">
        <v>1</v>
      </c>
      <c r="X152" t="n">
        <v>14.2</v>
      </c>
      <c r="Y152" t="n">
        <v>43.7</v>
      </c>
      <c r="Z152">
        <f>IF(AND(ISNUMBER(B152), ISNUMBER(MIN(B$2:B$486)), ISNUMBER(MAX(B$2:B$486))), IF(MAX(B$2:B$486)=MIN(B$2:B$486), 50, ROUND((MAX(B$2:B$486)-B152)/(MAX(B$2:B$486)-MIN(B$2:B$486))*100, 2)), "")</f>
        <v/>
      </c>
      <c r="AA152">
        <f>IF(AND(ISNUMBER(X152), ISNUMBER(MIN(X$2:X$486)), ISNUMBER(MAX(X$2:X$486))), IF(MAX(X$2:X$486)=MIN(X$2:X$486), 50, ROUND((MAX(X$2:X$486)-X152)/(MAX(X$2:X$486)-MIN(X$2:X$486))*100, 2)), "")</f>
        <v/>
      </c>
      <c r="AB152">
        <f>IF(AND(ISNUMBER(U152), ISNUMBER(MIN(U$2:U$486)), ISNUMBER(MAX(U$2:U$486))), IF(MAX(U$2:U$486)=MIN(U$2:U$486), 50, ROUND((U152-MIN(U$2:U$486))/(MAX(U$2:U$486)-MIN(U$2:U$486))*100, 2)), "")</f>
        <v/>
      </c>
      <c r="AC152">
        <f>IF(AND(ISNUMBER(Z152), ISNUMBER(AA152), ISNUMBER(AB152)), ROUND((Z152+AA152+AB152)/3, 2), "")</f>
        <v/>
      </c>
    </row>
    <row r="153">
      <c r="A153" t="n">
        <v>168137891</v>
      </c>
      <c r="B153" t="n">
        <v>1550</v>
      </c>
      <c r="C153" t="inlineStr">
        <is>
          <t>£1,550 pcm</t>
        </is>
      </c>
      <c r="D153" t="inlineStr">
        <is>
          <t>monthly</t>
        </is>
      </c>
      <c r="E153" t="inlineStr">
        <is>
          <t>Apartment</t>
        </is>
      </c>
      <c r="F153" t="n">
        <v>2</v>
      </c>
      <c r="G153" t="n">
        <v>2</v>
      </c>
      <c r="H153" t="inlineStr">
        <is>
          <t>Pettacre Close, West Thamesmead, SE28 0PB</t>
        </is>
      </c>
      <c r="I153" t="inlineStr">
        <is>
          <t>We are pleased to offer this 3rd floor ( NO LIFT) 2 bed, 2 bath unfurnished flat. The flat consists of open plan lounge/kitchen, 2 double bedrooms, 2 bathrooms, gas central heating, 1 fitted wardrobe and secure underground parking. Close to excellent transport links AVAILABLE END O</t>
        </is>
      </c>
      <c r="J153" t="inlineStr">
        <is>
          <t>https://www.rightmove.co.uk/properties/168137891#/?channel=RES_LET</t>
        </is>
      </c>
      <c r="K153" t="inlineStr">
        <is>
          <t>/property-to-rent/contactBranch.html?propertyId=168137891</t>
        </is>
      </c>
      <c r="L153" t="inlineStr">
        <is>
          <t>Redwood Estates, Royal Arsenal</t>
        </is>
      </c>
      <c r="M153" t="n">
        <v>34445</v>
      </c>
      <c r="N153" t="inlineStr">
        <is>
          <t>Added on 13/10/2025</t>
        </is>
      </c>
      <c r="O153" t="inlineStr">
        <is>
          <t>2025-10-13T09:46:19Z</t>
        </is>
      </c>
      <c r="Q153" t="inlineStr">
        <is>
          <t>SE28</t>
        </is>
      </c>
      <c r="R153" t="inlineStr">
        <is>
          <t>2025-10-16T17:42:20.204483</t>
        </is>
      </c>
      <c r="S153" t="inlineStr">
        <is>
          <t>{'let available date': '01/11/2025', 'deposit': '£1,788', 'min. tenancy': '12 months', 'let type': 'Long term', 'furnish type': 'Unfurnished', 'council tax': 'Ask agent'}</t>
        </is>
      </c>
      <c r="T153" t="n">
        <v>646</v>
      </c>
      <c r="U153" t="n">
        <v>60</v>
      </c>
      <c r="V153" t="b">
        <v>1</v>
      </c>
      <c r="X153" t="n">
        <v>23.84</v>
      </c>
      <c r="Y153" t="n">
        <v>60</v>
      </c>
      <c r="Z153">
        <f>IF(AND(ISNUMBER(B153), ISNUMBER(MIN(B$2:B$486)), ISNUMBER(MAX(B$2:B$486))), IF(MAX(B$2:B$486)=MIN(B$2:B$486), 50, ROUND((MAX(B$2:B$486)-B153)/(MAX(B$2:B$486)-MIN(B$2:B$486))*100, 2)), "")</f>
        <v/>
      </c>
      <c r="AA153">
        <f>IF(AND(ISNUMBER(X153), ISNUMBER(MIN(X$2:X$486)), ISNUMBER(MAX(X$2:X$486))), IF(MAX(X$2:X$486)=MIN(X$2:X$486), 50, ROUND((MAX(X$2:X$486)-X153)/(MAX(X$2:X$486)-MIN(X$2:X$486))*100, 2)), "")</f>
        <v/>
      </c>
      <c r="AB153">
        <f>IF(AND(ISNUMBER(U153), ISNUMBER(MIN(U$2:U$486)), ISNUMBER(MAX(U$2:U$486))), IF(MAX(U$2:U$486)=MIN(U$2:U$486), 50, ROUND((U153-MIN(U$2:U$486))/(MAX(U$2:U$486)-MIN(U$2:U$486))*100, 2)), "")</f>
        <v/>
      </c>
      <c r="AC153">
        <f>IF(AND(ISNUMBER(Z153), ISNUMBER(AA153), ISNUMBER(AB153)), ROUND((Z153+AA153+AB153)/3, 2), "")</f>
        <v/>
      </c>
    </row>
    <row r="154">
      <c r="A154" t="n">
        <v>166714583</v>
      </c>
      <c r="B154" t="n">
        <v>1750</v>
      </c>
      <c r="C154" t="inlineStr">
        <is>
          <t>£1,750 pcm</t>
        </is>
      </c>
      <c r="D154" t="inlineStr">
        <is>
          <t>monthly</t>
        </is>
      </c>
      <c r="E154" t="inlineStr">
        <is>
          <t>Apartment</t>
        </is>
      </c>
      <c r="F154" t="n">
        <v>2</v>
      </c>
      <c r="G154" t="n">
        <v>1</v>
      </c>
      <c r="H154" t="inlineStr">
        <is>
          <t>Wellington Street, Woolwich, SE18 6PE</t>
        </is>
      </c>
      <c r="I154" t="inlineStr">
        <is>
          <t>NO SHARERS WE ARE PLEASED TO OFFER THIS 2 DOUBLE BEDROOM APARTMENT,1ST FLOOR ( NO LIFT) IN THE HEART OF WOOLWICH, CONTEMPORARY DESIGN WITH WHITE GOODS SUPPLIED, IDEALLY SITUATED A FEW MINUTES WALK FROM DLR &amp; MAINLINE CROSSRAIL STATIONS. AVAILABLE NOW NO PARKING AVAILABLE MID O</t>
        </is>
      </c>
      <c r="J154" t="inlineStr">
        <is>
          <t>https://www.rightmove.co.uk/properties/166714583#/?channel=RES_LET</t>
        </is>
      </c>
      <c r="K154" t="inlineStr">
        <is>
          <t>/property-to-rent/contactBranch.html?propertyId=166714583</t>
        </is>
      </c>
      <c r="L154" t="inlineStr">
        <is>
          <t>Redwood Estates, Royal Arsenal</t>
        </is>
      </c>
      <c r="M154" t="n">
        <v>34445</v>
      </c>
      <c r="N154" t="inlineStr">
        <is>
          <t>Added on 13/10/2025</t>
        </is>
      </c>
      <c r="O154" t="inlineStr">
        <is>
          <t>2025-09-08T12:01:23Z</t>
        </is>
      </c>
      <c r="Q154" t="inlineStr">
        <is>
          <t>SE18</t>
        </is>
      </c>
      <c r="R154" t="inlineStr">
        <is>
          <t>2025-10-16T17:42:20.204486</t>
        </is>
      </c>
      <c r="S154" t="inlineStr">
        <is>
          <t>{'let available date': '18/10/2025', 'deposit': '£2,019', 'min. tenancy': '12 months', 'let type': 'Long term', 'furnish type': 'Unfurnished', 'council tax': 'Ask agent'}</t>
        </is>
      </c>
      <c r="V154" t="b">
        <v>1</v>
      </c>
      <c r="X154" t="n">
        <v>20.83</v>
      </c>
      <c r="Y154" t="n">
        <v>51.8</v>
      </c>
      <c r="Z154">
        <f>IF(AND(ISNUMBER(B154), ISNUMBER(MIN(B$2:B$486)), ISNUMBER(MAX(B$2:B$486))), IF(MAX(B$2:B$486)=MIN(B$2:B$486), 50, ROUND((MAX(B$2:B$486)-B154)/(MAX(B$2:B$486)-MIN(B$2:B$486))*100, 2)), "")</f>
        <v/>
      </c>
      <c r="AA154">
        <f>IF(AND(ISNUMBER(X154), ISNUMBER(MIN(X$2:X$486)), ISNUMBER(MAX(X$2:X$486))), IF(MAX(X$2:X$486)=MIN(X$2:X$486), 50, ROUND((MAX(X$2:X$486)-X154)/(MAX(X$2:X$486)-MIN(X$2:X$486))*100, 2)), "")</f>
        <v/>
      </c>
      <c r="AB154">
        <f>IF(AND(ISNUMBER(U154), ISNUMBER(MIN(U$2:U$486)), ISNUMBER(MAX(U$2:U$486))), IF(MAX(U$2:U$486)=MIN(U$2:U$486), 50, ROUND((U154-MIN(U$2:U$486))/(MAX(U$2:U$486)-MIN(U$2:U$486))*100, 2)), "")</f>
        <v/>
      </c>
      <c r="AC154">
        <f>IF(AND(ISNUMBER(Z154), ISNUMBER(AA154), ISNUMBER(AB154)), ROUND((Z154+AA154+AB154)/3, 2), "")</f>
        <v/>
      </c>
    </row>
    <row r="155">
      <c r="A155" t="n">
        <v>39727175</v>
      </c>
      <c r="B155" t="n">
        <v>1600</v>
      </c>
      <c r="C155" t="inlineStr">
        <is>
          <t>£1,600 pcm</t>
        </is>
      </c>
      <c r="D155" t="inlineStr">
        <is>
          <t>monthly</t>
        </is>
      </c>
      <c r="E155" t="inlineStr">
        <is>
          <t>Ground Maisonette</t>
        </is>
      </c>
      <c r="F155" t="n">
        <v>2</v>
      </c>
      <c r="H155" t="inlineStr">
        <is>
          <t>Maberley Road,London,SE19</t>
        </is>
      </c>
      <c r="I155" t="inlineStr">
        <is>
          <t>A SUPERB TWO BEDROOM GARDEN MAISONETTE situated in a highly sought after area near to South Norwood Lakes, local amenities &amp; Railway Station. Private front door access, large lounge, gas rad c/h, fitted kitchen, lovely bathroom/wc, private patio garden, private off-road parking.</t>
        </is>
      </c>
      <c r="J155" t="inlineStr">
        <is>
          <t>https://www.rightmove.co.uk/properties/39727175#/?channel=RES_LET</t>
        </is>
      </c>
      <c r="K155" t="inlineStr">
        <is>
          <t>/property-to-rent/contactBranch.html?propertyId=39727175</t>
        </is>
      </c>
      <c r="L155" t="inlineStr">
        <is>
          <t>Northwood, Croydon</t>
        </is>
      </c>
      <c r="M155" t="n">
        <v>74009</v>
      </c>
      <c r="N155" t="inlineStr">
        <is>
          <t>Reduced on 13/10/2025</t>
        </is>
      </c>
      <c r="O155" t="inlineStr">
        <is>
          <t>2012-10-22T11:36:46Z</t>
        </is>
      </c>
      <c r="Q155" t="inlineStr">
        <is>
          <t>SE19</t>
        </is>
      </c>
      <c r="R155" t="inlineStr">
        <is>
          <t>2025-10-16T17:42:20.204489</t>
        </is>
      </c>
      <c r="S155" t="inlineStr">
        <is>
          <t>{'let available date': 'Now', 'deposit': 'Ask agent', 'min. tenancy': 'Ask agent', 'let type': 'Long term', 'furnish type': 'Unfurnished', 'council tax': 'Ask agent'}</t>
        </is>
      </c>
      <c r="T155" t="n">
        <v>678</v>
      </c>
      <c r="U155" t="n">
        <v>63</v>
      </c>
      <c r="V155" t="b">
        <v>1</v>
      </c>
      <c r="X155" t="n">
        <v>14</v>
      </c>
      <c r="Y155" t="n">
        <v>46.6</v>
      </c>
      <c r="Z155">
        <f>IF(AND(ISNUMBER(B155), ISNUMBER(MIN(B$2:B$486)), ISNUMBER(MAX(B$2:B$486))), IF(MAX(B$2:B$486)=MIN(B$2:B$486), 50, ROUND((MAX(B$2:B$486)-B155)/(MAX(B$2:B$486)-MIN(B$2:B$486))*100, 2)), "")</f>
        <v/>
      </c>
      <c r="AA155">
        <f>IF(AND(ISNUMBER(X155), ISNUMBER(MIN(X$2:X$486)), ISNUMBER(MAX(X$2:X$486))), IF(MAX(X$2:X$486)=MIN(X$2:X$486), 50, ROUND((MAX(X$2:X$486)-X155)/(MAX(X$2:X$486)-MIN(X$2:X$486))*100, 2)), "")</f>
        <v/>
      </c>
      <c r="AB155">
        <f>IF(AND(ISNUMBER(U155), ISNUMBER(MIN(U$2:U$486)), ISNUMBER(MAX(U$2:U$486))), IF(MAX(U$2:U$486)=MIN(U$2:U$486), 50, ROUND((U155-MIN(U$2:U$486))/(MAX(U$2:U$486)-MIN(U$2:U$486))*100, 2)), "")</f>
        <v/>
      </c>
      <c r="AC155">
        <f>IF(AND(ISNUMBER(Z155), ISNUMBER(AA155), ISNUMBER(AB155)), ROUND((Z155+AA155+AB155)/3, 2), "")</f>
        <v/>
      </c>
    </row>
    <row r="156">
      <c r="A156" t="n">
        <v>167249108</v>
      </c>
      <c r="B156" t="n">
        <v>1750</v>
      </c>
      <c r="C156" t="inlineStr">
        <is>
          <t>£1,750 pcm</t>
        </is>
      </c>
      <c r="D156" t="inlineStr">
        <is>
          <t>monthly</t>
        </is>
      </c>
      <c r="E156" t="inlineStr">
        <is>
          <t>Flat</t>
        </is>
      </c>
      <c r="F156" t="n">
        <v>2</v>
      </c>
      <c r="G156" t="n">
        <v>1</v>
      </c>
      <c r="H156" t="inlineStr">
        <is>
          <t>Henniker Gardens, London, E6</t>
        </is>
      </c>
      <c r="I156" t="inlineStr">
        <is>
          <t>DOUBLE FRONTED GROUND FLOOR GARDEN FLAT. Own front door 2 double bedroom patio garden flat. Newly refurbished to a high standard. Fully fitted kitchen with integrated dish washer. Fridg... ** Property Reference: 2588547 **</t>
        </is>
      </c>
      <c r="J156" t="inlineStr">
        <is>
          <t>https://www.rightmove.co.uk/properties/167249108#/?channel=RES_LET</t>
        </is>
      </c>
      <c r="K156" t="inlineStr">
        <is>
          <t>/property-to-rent/contactBranch.html?propertyId=167249108</t>
        </is>
      </c>
      <c r="L156" t="inlineStr">
        <is>
          <t>OpenRent, London</t>
        </is>
      </c>
      <c r="M156" t="n">
        <v>96668</v>
      </c>
      <c r="N156" t="inlineStr">
        <is>
          <t>Reduced on 12/10/2025</t>
        </is>
      </c>
      <c r="O156" t="inlineStr">
        <is>
          <t>2025-09-22T10:23:11Z</t>
        </is>
      </c>
      <c r="Q156" t="inlineStr">
        <is>
          <t>E6</t>
        </is>
      </c>
      <c r="R156" t="inlineStr">
        <is>
          <t>2025-10-16T17:42:20.204491</t>
        </is>
      </c>
      <c r="S156" t="inlineStr">
        <is>
          <t>{'let available date': 'Now', 'deposit': '£1,750', 'min. tenancy': 'Ask agent', 'let type': 'Long term', 'furnish type': 'Unfurnished', 'council tax': 'Ask agent'}</t>
        </is>
      </c>
      <c r="V156" t="b">
        <v>1</v>
      </c>
      <c r="X156" t="n">
        <v>16.03</v>
      </c>
      <c r="Y156" t="n">
        <v>42.6</v>
      </c>
      <c r="Z156">
        <f>IF(AND(ISNUMBER(B156), ISNUMBER(MIN(B$2:B$486)), ISNUMBER(MAX(B$2:B$486))), IF(MAX(B$2:B$486)=MIN(B$2:B$486), 50, ROUND((MAX(B$2:B$486)-B156)/(MAX(B$2:B$486)-MIN(B$2:B$486))*100, 2)), "")</f>
        <v/>
      </c>
      <c r="AA156">
        <f>IF(AND(ISNUMBER(X156), ISNUMBER(MIN(X$2:X$486)), ISNUMBER(MAX(X$2:X$486))), IF(MAX(X$2:X$486)=MIN(X$2:X$486), 50, ROUND((MAX(X$2:X$486)-X156)/(MAX(X$2:X$486)-MIN(X$2:X$486))*100, 2)), "")</f>
        <v/>
      </c>
      <c r="AB156">
        <f>IF(AND(ISNUMBER(U156), ISNUMBER(MIN(U$2:U$486)), ISNUMBER(MAX(U$2:U$486))), IF(MAX(U$2:U$486)=MIN(U$2:U$486), 50, ROUND((U156-MIN(U$2:U$486))/(MAX(U$2:U$486)-MIN(U$2:U$486))*100, 2)), "")</f>
        <v/>
      </c>
      <c r="AC156">
        <f>IF(AND(ISNUMBER(Z156), ISNUMBER(AA156), ISNUMBER(AB156)), ROUND((Z156+AA156+AB156)/3, 2), "")</f>
        <v/>
      </c>
    </row>
    <row r="157">
      <c r="A157" t="n">
        <v>166569044</v>
      </c>
      <c r="B157" t="n">
        <v>1550</v>
      </c>
      <c r="C157" t="inlineStr">
        <is>
          <t>£1,550 pcm</t>
        </is>
      </c>
      <c r="D157" t="inlineStr">
        <is>
          <t>monthly</t>
        </is>
      </c>
      <c r="E157" t="inlineStr">
        <is>
          <t>Apartment</t>
        </is>
      </c>
      <c r="F157" t="n">
        <v>2</v>
      </c>
      <c r="G157" t="n">
        <v>1</v>
      </c>
      <c r="H157" t="inlineStr">
        <is>
          <t>Clyde Road, Wallington, Surrey, SM6</t>
        </is>
      </c>
      <c r="I157" t="inlineStr">
        <is>
          <t>Spacious Two-Bedroom Flat with Private Garden – Moments from Wallington Station. Available 28th October 2025 - Unfurnished A bright and spacious two-bedroom flat ideally located just a short walk from Wallington Train Station and the vibrant high street. Perfect for pr...</t>
        </is>
      </c>
      <c r="J157" t="inlineStr">
        <is>
          <t>https://www.rightmove.co.uk/properties/166569044#/?channel=RES_LET</t>
        </is>
      </c>
      <c r="K157" t="inlineStr">
        <is>
          <t>/property-to-rent/contactBranch.html?propertyId=166569044</t>
        </is>
      </c>
      <c r="L157" t="inlineStr">
        <is>
          <t>Goodfellows, Morden - Lettings</t>
        </is>
      </c>
      <c r="M157" t="n">
        <v>8972</v>
      </c>
      <c r="N157" t="inlineStr">
        <is>
          <t>Reduced on 12/10/2025</t>
        </is>
      </c>
      <c r="O157" t="inlineStr">
        <is>
          <t>2025-09-04T09:51:22Z</t>
        </is>
      </c>
      <c r="Q157" t="inlineStr">
        <is>
          <t>SM6</t>
        </is>
      </c>
      <c r="R157" t="inlineStr">
        <is>
          <t>2025-10-16T17:42:20.204493</t>
        </is>
      </c>
      <c r="S157" t="inlineStr">
        <is>
          <t>{'let available date': '28/10/2025', 'deposit': '£0', 'min. tenancy': 'Ask agent', 'let type': 'Long term', 'furnish type': 'Unfurnished', 'council tax': 'Ask agent'}</t>
        </is>
      </c>
      <c r="V157" t="b">
        <v>1</v>
      </c>
      <c r="X157" t="n">
        <v>20.45</v>
      </c>
      <c r="Y157" t="n">
        <v>64.59999999999999</v>
      </c>
      <c r="Z157">
        <f>IF(AND(ISNUMBER(B157), ISNUMBER(MIN(B$2:B$486)), ISNUMBER(MAX(B$2:B$486))), IF(MAX(B$2:B$486)=MIN(B$2:B$486), 50, ROUND((MAX(B$2:B$486)-B157)/(MAX(B$2:B$486)-MIN(B$2:B$486))*100, 2)), "")</f>
        <v/>
      </c>
      <c r="AA157">
        <f>IF(AND(ISNUMBER(X157), ISNUMBER(MIN(X$2:X$486)), ISNUMBER(MAX(X$2:X$486))), IF(MAX(X$2:X$486)=MIN(X$2:X$486), 50, ROUND((MAX(X$2:X$486)-X157)/(MAX(X$2:X$486)-MIN(X$2:X$486))*100, 2)), "")</f>
        <v/>
      </c>
      <c r="AB157">
        <f>IF(AND(ISNUMBER(U157), ISNUMBER(MIN(U$2:U$486)), ISNUMBER(MAX(U$2:U$486))), IF(MAX(U$2:U$486)=MIN(U$2:U$486), 50, ROUND((U157-MIN(U$2:U$486))/(MAX(U$2:U$486)-MIN(U$2:U$486))*100, 2)), "")</f>
        <v/>
      </c>
      <c r="AC157">
        <f>IF(AND(ISNUMBER(Z157), ISNUMBER(AA157), ISNUMBER(AB157)), ROUND((Z157+AA157+AB157)/3, 2), "")</f>
        <v/>
      </c>
    </row>
    <row r="158">
      <c r="A158" t="n">
        <v>168121373</v>
      </c>
      <c r="B158" t="n">
        <v>1600</v>
      </c>
      <c r="C158" t="inlineStr">
        <is>
          <t>£1,600 pcm</t>
        </is>
      </c>
      <c r="D158" t="inlineStr">
        <is>
          <t>monthly</t>
        </is>
      </c>
      <c r="E158" t="inlineStr">
        <is>
          <t>Apartment</t>
        </is>
      </c>
      <c r="F158" t="n">
        <v>2</v>
      </c>
      <c r="G158" t="n">
        <v>1</v>
      </c>
      <c r="H158" t="inlineStr">
        <is>
          <t>Varsity Drive, Twickenham</t>
        </is>
      </c>
      <c r="I158" t="inlineStr">
        <is>
          <t>Second Floor, two bedroom apartment in a modern development with communal gardens and an allocated parking space. Situated less than 0.5 miles from local shops and only 0.8 miles from Twickenham town centre shops, bars, restaurants and mainline train station.</t>
        </is>
      </c>
      <c r="J158" t="inlineStr">
        <is>
          <t>https://www.rightmove.co.uk/properties/168121373#/?channel=RES_LET</t>
        </is>
      </c>
      <c r="K158" t="inlineStr">
        <is>
          <t>/property-to-rent/contactBranch.html?propertyId=168121373</t>
        </is>
      </c>
      <c r="L158" t="inlineStr">
        <is>
          <t>Priory LM, Richmond - Lettings</t>
        </is>
      </c>
      <c r="M158" t="n">
        <v>33060</v>
      </c>
      <c r="N158" t="inlineStr">
        <is>
          <t>Added on 11/10/2025</t>
        </is>
      </c>
      <c r="O158" t="inlineStr">
        <is>
          <t>2025-10-11T13:58:40Z</t>
        </is>
      </c>
      <c r="R158" t="inlineStr">
        <is>
          <t>2025-10-16T17:42:20.204496</t>
        </is>
      </c>
      <c r="S158" t="inlineStr">
        <is>
          <t>{'let available date': '12/12/2025', 'deposit': '£1,847', 'min. tenancy': 'Ask agent', 'let type': 'Long term', 'furnish type': 'Unfurnished', 'council tax': 'Ask agent'}</t>
        </is>
      </c>
      <c r="V158" t="b">
        <v>1</v>
      </c>
      <c r="X158" t="n">
        <v>18</v>
      </c>
      <c r="Y158" t="n">
        <v>55.4</v>
      </c>
      <c r="Z158">
        <f>IF(AND(ISNUMBER(B158), ISNUMBER(MIN(B$2:B$486)), ISNUMBER(MAX(B$2:B$486))), IF(MAX(B$2:B$486)=MIN(B$2:B$486), 50, ROUND((MAX(B$2:B$486)-B158)/(MAX(B$2:B$486)-MIN(B$2:B$486))*100, 2)), "")</f>
        <v/>
      </c>
      <c r="AA158">
        <f>IF(AND(ISNUMBER(X158), ISNUMBER(MIN(X$2:X$486)), ISNUMBER(MAX(X$2:X$486))), IF(MAX(X$2:X$486)=MIN(X$2:X$486), 50, ROUND((MAX(X$2:X$486)-X158)/(MAX(X$2:X$486)-MIN(X$2:X$486))*100, 2)), "")</f>
        <v/>
      </c>
      <c r="AB158">
        <f>IF(AND(ISNUMBER(U158), ISNUMBER(MIN(U$2:U$486)), ISNUMBER(MAX(U$2:U$486))), IF(MAX(U$2:U$486)=MIN(U$2:U$486), 50, ROUND((U158-MIN(U$2:U$486))/(MAX(U$2:U$486)-MIN(U$2:U$486))*100, 2)), "")</f>
        <v/>
      </c>
      <c r="AC158">
        <f>IF(AND(ISNUMBER(Z158), ISNUMBER(AA158), ISNUMBER(AB158)), ROUND((Z158+AA158+AB158)/3, 2), "")</f>
        <v/>
      </c>
    </row>
    <row r="159">
      <c r="A159" t="n">
        <v>167134808</v>
      </c>
      <c r="B159" t="n">
        <v>1725</v>
      </c>
      <c r="C159" t="inlineStr">
        <is>
          <t>£1,725 pcm</t>
        </is>
      </c>
      <c r="D159" t="inlineStr">
        <is>
          <t>monthly</t>
        </is>
      </c>
      <c r="E159" t="inlineStr">
        <is>
          <t>Flat</t>
        </is>
      </c>
      <c r="F159" t="n">
        <v>2</v>
      </c>
      <c r="G159" t="n">
        <v>1</v>
      </c>
      <c r="H159" t="inlineStr">
        <is>
          <t>Prestbury Road, Forest Gate, E7</t>
        </is>
      </c>
      <c r="I159" t="inlineStr">
        <is>
          <t>Prestbury Road, London E7 – A spacious two-bedroom ground floor flat with private garden, set within a charming house conversion. This attractive flat offers two double bedrooms, one of which is a self-contained/separate front bedroom accessed from the communal hallway, making it ideal for flexib...</t>
        </is>
      </c>
      <c r="J159" t="inlineStr">
        <is>
          <t>https://www.rightmove.co.uk/properties/167134808#/?channel=RES_LET</t>
        </is>
      </c>
      <c r="K159" t="inlineStr">
        <is>
          <t>/property-to-rent/contactBranch.html?propertyId=167134808</t>
        </is>
      </c>
      <c r="L159" t="inlineStr">
        <is>
          <t>David Daniels, Stratford Lettings</t>
        </is>
      </c>
      <c r="M159" t="n">
        <v>76481</v>
      </c>
      <c r="N159" t="inlineStr">
        <is>
          <t>Reduced on 11/10/2025</t>
        </is>
      </c>
      <c r="O159" t="inlineStr">
        <is>
          <t>2025-09-18T11:03:48Z</t>
        </is>
      </c>
      <c r="Q159" t="inlineStr">
        <is>
          <t>E7</t>
        </is>
      </c>
      <c r="R159" t="inlineStr">
        <is>
          <t>2025-10-16T17:42:20.204498</t>
        </is>
      </c>
      <c r="S159" t="inlineStr">
        <is>
          <t>{'let available date': 'Now', 'deposit': 'Ask agent', 'min. tenancy': 'Ask agent', 'let type': 'Long term', 'furnish type': 'Ask agent', 'council tax': 'Ask agent'}</t>
        </is>
      </c>
      <c r="V159" t="b">
        <v>1</v>
      </c>
      <c r="X159" t="n">
        <v>13.65</v>
      </c>
      <c r="Y159" t="n">
        <v>53.9</v>
      </c>
      <c r="Z159">
        <f>IF(AND(ISNUMBER(B159), ISNUMBER(MIN(B$2:B$486)), ISNUMBER(MAX(B$2:B$486))), IF(MAX(B$2:B$486)=MIN(B$2:B$486), 50, ROUND((MAX(B$2:B$486)-B159)/(MAX(B$2:B$486)-MIN(B$2:B$486))*100, 2)), "")</f>
        <v/>
      </c>
      <c r="AA159">
        <f>IF(AND(ISNUMBER(X159), ISNUMBER(MIN(X$2:X$486)), ISNUMBER(MAX(X$2:X$486))), IF(MAX(X$2:X$486)=MIN(X$2:X$486), 50, ROUND((MAX(X$2:X$486)-X159)/(MAX(X$2:X$486)-MIN(X$2:X$486))*100, 2)), "")</f>
        <v/>
      </c>
      <c r="AB159">
        <f>IF(AND(ISNUMBER(U159), ISNUMBER(MIN(U$2:U$486)), ISNUMBER(MAX(U$2:U$486))), IF(MAX(U$2:U$486)=MIN(U$2:U$486), 50, ROUND((U159-MIN(U$2:U$486))/(MAX(U$2:U$486)-MIN(U$2:U$486))*100, 2)), "")</f>
        <v/>
      </c>
      <c r="AC159">
        <f>IF(AND(ISNUMBER(Z159), ISNUMBER(AA159), ISNUMBER(AB159)), ROUND((Z159+AA159+AB159)/3, 2), "")</f>
        <v/>
      </c>
    </row>
    <row r="160">
      <c r="A160" t="n">
        <v>166492022</v>
      </c>
      <c r="B160" t="n">
        <v>1700</v>
      </c>
      <c r="C160" t="inlineStr">
        <is>
          <t>£1,700 pcm</t>
        </is>
      </c>
      <c r="D160" t="inlineStr">
        <is>
          <t>monthly</t>
        </is>
      </c>
      <c r="E160" t="inlineStr">
        <is>
          <t>Flat</t>
        </is>
      </c>
      <c r="F160" t="n">
        <v>2</v>
      </c>
      <c r="G160" t="n">
        <v>1</v>
      </c>
      <c r="H160" t="inlineStr">
        <is>
          <t>Joseph Hardcastle Close, New Cross, SE14</t>
        </is>
      </c>
      <c r="I160" t="inlineStr">
        <is>
          <t>**WASHING MACHINE NOT PROVIDED**OWN GARDEN + GARAGE** Homelink Letting &amp; Estates are delighted to offer for rent this newly re-decorated two bedroom house near the popular New Cross district. The property is set on the first floor but benefits from own parking, space, garage and rear ga...</t>
        </is>
      </c>
      <c r="J160" t="inlineStr">
        <is>
          <t>https://www.rightmove.co.uk/properties/166492022#/?channel=RES_LET</t>
        </is>
      </c>
      <c r="K160" t="inlineStr">
        <is>
          <t>/property-to-rent/contactBranch.html?propertyId=166492022</t>
        </is>
      </c>
      <c r="L160" t="inlineStr">
        <is>
          <t>Homelink Lettings &amp; Estates, London</t>
        </is>
      </c>
      <c r="M160" t="n">
        <v>13040</v>
      </c>
      <c r="N160" t="inlineStr">
        <is>
          <t>Reduced on 11/10/2025</t>
        </is>
      </c>
      <c r="O160" t="inlineStr">
        <is>
          <t>2025-09-02T14:27:11Z</t>
        </is>
      </c>
      <c r="Q160" t="inlineStr">
        <is>
          <t>SE14</t>
        </is>
      </c>
      <c r="R160" t="inlineStr">
        <is>
          <t>2025-10-16T17:42:20.204506</t>
        </is>
      </c>
      <c r="S160" t="inlineStr">
        <is>
          <t>{'let available date': '22/10/2025', 'deposit': '£1,960', 'min. tenancy': 'Ask agent', 'let type': 'Long term', 'furnish type': 'Unfurnished', 'council tax': 'Ask agent'}</t>
        </is>
      </c>
      <c r="V160" t="b">
        <v>1</v>
      </c>
      <c r="X160" t="n">
        <v>9.35</v>
      </c>
      <c r="Y160" t="n">
        <v>37.1</v>
      </c>
      <c r="Z160">
        <f>IF(AND(ISNUMBER(B160), ISNUMBER(MIN(B$2:B$486)), ISNUMBER(MAX(B$2:B$486))), IF(MAX(B$2:B$486)=MIN(B$2:B$486), 50, ROUND((MAX(B$2:B$486)-B160)/(MAX(B$2:B$486)-MIN(B$2:B$486))*100, 2)), "")</f>
        <v/>
      </c>
      <c r="AA160">
        <f>IF(AND(ISNUMBER(X160), ISNUMBER(MIN(X$2:X$486)), ISNUMBER(MAX(X$2:X$486))), IF(MAX(X$2:X$486)=MIN(X$2:X$486), 50, ROUND((MAX(X$2:X$486)-X160)/(MAX(X$2:X$486)-MIN(X$2:X$486))*100, 2)), "")</f>
        <v/>
      </c>
      <c r="AB160">
        <f>IF(AND(ISNUMBER(U160), ISNUMBER(MIN(U$2:U$486)), ISNUMBER(MAX(U$2:U$486))), IF(MAX(U$2:U$486)=MIN(U$2:U$486), 50, ROUND((U160-MIN(U$2:U$486))/(MAX(U$2:U$486)-MIN(U$2:U$486))*100, 2)), "")</f>
        <v/>
      </c>
      <c r="AC160">
        <f>IF(AND(ISNUMBER(Z160), ISNUMBER(AA160), ISNUMBER(AB160)), ROUND((Z160+AA160+AB160)/3, 2), "")</f>
        <v/>
      </c>
    </row>
    <row r="161">
      <c r="A161" t="n">
        <v>168118151</v>
      </c>
      <c r="B161" t="n">
        <v>1600</v>
      </c>
      <c r="C161" t="inlineStr">
        <is>
          <t>£1,600 pcm</t>
        </is>
      </c>
      <c r="D161" t="inlineStr">
        <is>
          <t>monthly</t>
        </is>
      </c>
      <c r="E161" t="inlineStr">
        <is>
          <t>Maisonette</t>
        </is>
      </c>
      <c r="F161" t="n">
        <v>2</v>
      </c>
      <c r="G161" t="n">
        <v>1</v>
      </c>
      <c r="H161" t="inlineStr">
        <is>
          <t>Hale Grove Gardens, London, NW7</t>
        </is>
      </c>
      <c r="I161" t="inlineStr">
        <is>
          <t>NEW! Knights are delighted to offer to let this two bedroom first floor maisonette located close to all amenities of Mill Hill. The flat consists of an open plan lounge/kitchen, bathroom suite, gas central heating, off street parking (one car), own front door, unfurnished, double glazing and is a...</t>
        </is>
      </c>
      <c r="J161" t="inlineStr">
        <is>
          <t>https://www.rightmove.co.uk/properties/168118151#/?channel=RES_LET</t>
        </is>
      </c>
      <c r="K161" t="inlineStr">
        <is>
          <t>/property-to-rent/contactBranch.html?propertyId=168118151</t>
        </is>
      </c>
      <c r="L161" t="inlineStr">
        <is>
          <t>Knights Residential, London</t>
        </is>
      </c>
      <c r="M161" t="n">
        <v>82394</v>
      </c>
      <c r="N161" t="inlineStr">
        <is>
          <t>Added on 11/10/2025</t>
        </is>
      </c>
      <c r="O161" t="inlineStr">
        <is>
          <t>2025-10-11T11:29:36Z</t>
        </is>
      </c>
      <c r="Q161" t="inlineStr">
        <is>
          <t>NW7</t>
        </is>
      </c>
      <c r="R161" t="inlineStr">
        <is>
          <t>2025-10-16T17:42:20.204509</t>
        </is>
      </c>
      <c r="S161" t="inlineStr">
        <is>
          <t>{'let available date': 'Now', 'deposit': 'Ask agent', 'min. tenancy': 'Ask agent', 'let type': 'Long term', 'furnish type': 'Unfurnished', 'council tax': 'Ask agent'}</t>
        </is>
      </c>
      <c r="V161" t="b">
        <v>1</v>
      </c>
      <c r="X161" t="n">
        <v>17.56</v>
      </c>
      <c r="Y161" t="n">
        <v>49.1</v>
      </c>
      <c r="Z161">
        <f>IF(AND(ISNUMBER(B161), ISNUMBER(MIN(B$2:B$486)), ISNUMBER(MAX(B$2:B$486))), IF(MAX(B$2:B$486)=MIN(B$2:B$486), 50, ROUND((MAX(B$2:B$486)-B161)/(MAX(B$2:B$486)-MIN(B$2:B$486))*100, 2)), "")</f>
        <v/>
      </c>
      <c r="AA161">
        <f>IF(AND(ISNUMBER(X161), ISNUMBER(MIN(X$2:X$486)), ISNUMBER(MAX(X$2:X$486))), IF(MAX(X$2:X$486)=MIN(X$2:X$486), 50, ROUND((MAX(X$2:X$486)-X161)/(MAX(X$2:X$486)-MIN(X$2:X$486))*100, 2)), "")</f>
        <v/>
      </c>
      <c r="AB161">
        <f>IF(AND(ISNUMBER(U161), ISNUMBER(MIN(U$2:U$486)), ISNUMBER(MAX(U$2:U$486))), IF(MAX(U$2:U$486)=MIN(U$2:U$486), 50, ROUND((U161-MIN(U$2:U$486))/(MAX(U$2:U$486)-MIN(U$2:U$486))*100, 2)), "")</f>
        <v/>
      </c>
      <c r="AC161">
        <f>IF(AND(ISNUMBER(Z161), ISNUMBER(AA161), ISNUMBER(AB161)), ROUND((Z161+AA161+AB161)/3, 2), "")</f>
        <v/>
      </c>
    </row>
    <row r="162">
      <c r="A162" t="n">
        <v>154548776</v>
      </c>
      <c r="B162" t="n">
        <v>1750</v>
      </c>
      <c r="C162" t="inlineStr">
        <is>
          <t>£1,750 pcm</t>
        </is>
      </c>
      <c r="D162" t="inlineStr">
        <is>
          <t>monthly</t>
        </is>
      </c>
      <c r="E162" t="inlineStr">
        <is>
          <t>Flat</t>
        </is>
      </c>
      <c r="F162" t="n">
        <v>2</v>
      </c>
      <c r="G162" t="n">
        <v>1</v>
      </c>
      <c r="H162" t="inlineStr">
        <is>
          <t>Frith Road, Leyton, London, E11</t>
        </is>
      </c>
      <c r="I162" t="inlineStr">
        <is>
          <t>Hills Estate are delighted to present this lovely two bedroom flat located in heart of Leytonstone, Close to a host of local shops, restaurants, bars and transport links.</t>
        </is>
      </c>
      <c r="J162" t="inlineStr">
        <is>
          <t>https://www.rightmove.co.uk/properties/154548776#/?channel=RES_LET</t>
        </is>
      </c>
      <c r="K162" t="inlineStr">
        <is>
          <t>/property-to-rent/contactBranch.html?propertyId=154548776</t>
        </is>
      </c>
      <c r="L162" t="inlineStr">
        <is>
          <t>Hills Estate, Ilford</t>
        </is>
      </c>
      <c r="M162" t="n">
        <v>152342</v>
      </c>
      <c r="N162" t="inlineStr">
        <is>
          <t>Added on 11/10/2025</t>
        </is>
      </c>
      <c r="O162" t="inlineStr">
        <is>
          <t>2024-11-04T10:22:46Z</t>
        </is>
      </c>
      <c r="Q162" t="inlineStr">
        <is>
          <t>E11</t>
        </is>
      </c>
      <c r="R162" t="inlineStr">
        <is>
          <t>2025-10-16T17:42:20.204511</t>
        </is>
      </c>
      <c r="S162" t="inlineStr">
        <is>
          <t>{'let available date': 'Now', 'deposit': '£1,750', 'min. tenancy': 'Ask agent', 'let type': 'Long term', 'furnish type': 'Ask agent', 'council tax': 'Ask agent'}</t>
        </is>
      </c>
      <c r="V162" t="b">
        <v>1</v>
      </c>
      <c r="X162" t="n">
        <v>13.87</v>
      </c>
      <c r="Y162" t="n">
        <v>45.6</v>
      </c>
      <c r="Z162">
        <f>IF(AND(ISNUMBER(B162), ISNUMBER(MIN(B$2:B$486)), ISNUMBER(MAX(B$2:B$486))), IF(MAX(B$2:B$486)=MIN(B$2:B$486), 50, ROUND((MAX(B$2:B$486)-B162)/(MAX(B$2:B$486)-MIN(B$2:B$486))*100, 2)), "")</f>
        <v/>
      </c>
      <c r="AA162">
        <f>IF(AND(ISNUMBER(X162), ISNUMBER(MIN(X$2:X$486)), ISNUMBER(MAX(X$2:X$486))), IF(MAX(X$2:X$486)=MIN(X$2:X$486), 50, ROUND((MAX(X$2:X$486)-X162)/(MAX(X$2:X$486)-MIN(X$2:X$486))*100, 2)), "")</f>
        <v/>
      </c>
      <c r="AB162">
        <f>IF(AND(ISNUMBER(U162), ISNUMBER(MIN(U$2:U$486)), ISNUMBER(MAX(U$2:U$486))), IF(MAX(U$2:U$486)=MIN(U$2:U$486), 50, ROUND((U162-MIN(U$2:U$486))/(MAX(U$2:U$486)-MIN(U$2:U$486))*100, 2)), "")</f>
        <v/>
      </c>
      <c r="AC162">
        <f>IF(AND(ISNUMBER(Z162), ISNUMBER(AA162), ISNUMBER(AB162)), ROUND((Z162+AA162+AB162)/3, 2), "")</f>
        <v/>
      </c>
    </row>
    <row r="163">
      <c r="A163" t="n">
        <v>167977460</v>
      </c>
      <c r="B163" t="n">
        <v>1700</v>
      </c>
      <c r="C163" t="inlineStr">
        <is>
          <t>£1,700 pcm</t>
        </is>
      </c>
      <c r="D163" t="inlineStr">
        <is>
          <t>monthly</t>
        </is>
      </c>
      <c r="E163" t="inlineStr">
        <is>
          <t>Flat</t>
        </is>
      </c>
      <c r="F163" t="n">
        <v>2</v>
      </c>
      <c r="G163" t="n">
        <v>1</v>
      </c>
      <c r="H163" t="inlineStr">
        <is>
          <t>Alcester Court, Wallington, SM6</t>
        </is>
      </c>
      <c r="I163" t="inlineStr">
        <is>
          <t>We are proud to offer this delightful 2 bedroom, 1 bathroom flat in a great location. Available to move in from 11 October 2025. Property is offered unfurnished. Viewing highly recommended. Cont... ** Property Reference: 2634223 **</t>
        </is>
      </c>
      <c r="J163" t="inlineStr">
        <is>
          <t>https://www.rightmove.co.uk/properties/167977460#/?channel=RES_LET</t>
        </is>
      </c>
      <c r="K163" t="inlineStr">
        <is>
          <t>/property-to-rent/contactBranch.html?propertyId=167977460</t>
        </is>
      </c>
      <c r="L163" t="inlineStr">
        <is>
          <t>OpenRent, London</t>
        </is>
      </c>
      <c r="M163" t="n">
        <v>96668</v>
      </c>
      <c r="N163" t="inlineStr">
        <is>
          <t>Reduced on 11/10/2025</t>
        </is>
      </c>
      <c r="O163" t="inlineStr">
        <is>
          <t>2025-10-08T11:48:14Z</t>
        </is>
      </c>
      <c r="Q163" t="inlineStr">
        <is>
          <t>SM6</t>
        </is>
      </c>
      <c r="R163" t="inlineStr">
        <is>
          <t>2025-10-16T17:42:20.204515</t>
        </is>
      </c>
      <c r="S163" t="inlineStr">
        <is>
          <t>{'let available date': 'Now', 'deposit': '£1,962', 'min. tenancy': 'Ask agent', 'let type': 'Long term', 'furnish type': 'Unfurnished', 'council tax': 'Ask agent'}</t>
        </is>
      </c>
      <c r="V163" t="b">
        <v>1</v>
      </c>
      <c r="X163" t="n">
        <v>20.45</v>
      </c>
      <c r="Y163" t="n">
        <v>64.59999999999999</v>
      </c>
      <c r="Z163">
        <f>IF(AND(ISNUMBER(B163), ISNUMBER(MIN(B$2:B$486)), ISNUMBER(MAX(B$2:B$486))), IF(MAX(B$2:B$486)=MIN(B$2:B$486), 50, ROUND((MAX(B$2:B$486)-B163)/(MAX(B$2:B$486)-MIN(B$2:B$486))*100, 2)), "")</f>
        <v/>
      </c>
      <c r="AA163">
        <f>IF(AND(ISNUMBER(X163), ISNUMBER(MIN(X$2:X$486)), ISNUMBER(MAX(X$2:X$486))), IF(MAX(X$2:X$486)=MIN(X$2:X$486), 50, ROUND((MAX(X$2:X$486)-X163)/(MAX(X$2:X$486)-MIN(X$2:X$486))*100, 2)), "")</f>
        <v/>
      </c>
      <c r="AB163">
        <f>IF(AND(ISNUMBER(U163), ISNUMBER(MIN(U$2:U$486)), ISNUMBER(MAX(U$2:U$486))), IF(MAX(U$2:U$486)=MIN(U$2:U$486), 50, ROUND((U163-MIN(U$2:U$486))/(MAX(U$2:U$486)-MIN(U$2:U$486))*100, 2)), "")</f>
        <v/>
      </c>
      <c r="AC163">
        <f>IF(AND(ISNUMBER(Z163), ISNUMBER(AA163), ISNUMBER(AB163)), ROUND((Z163+AA163+AB163)/3, 2), "")</f>
        <v/>
      </c>
    </row>
    <row r="164">
      <c r="A164" t="n">
        <v>168115826</v>
      </c>
      <c r="B164" t="n">
        <v>1750</v>
      </c>
      <c r="C164" t="inlineStr">
        <is>
          <t>£1,750 pcm</t>
        </is>
      </c>
      <c r="D164" t="inlineStr">
        <is>
          <t>monthly</t>
        </is>
      </c>
      <c r="E164" t="inlineStr">
        <is>
          <t>Flat</t>
        </is>
      </c>
      <c r="F164" t="n">
        <v>2</v>
      </c>
      <c r="G164" t="n">
        <v>1</v>
      </c>
      <c r="H164" t="inlineStr">
        <is>
          <t>Sydenham Road, London, SE26</t>
        </is>
      </c>
      <c r="I164" t="inlineStr">
        <is>
          <t>Immaculate two double bedroom period flat to rent in the heart of Sydenham within a 2 min walk to Sydenham station. Available 1st Dec. Needs to be seen to be appreciated!</t>
        </is>
      </c>
      <c r="J164" t="inlineStr">
        <is>
          <t>https://www.rightmove.co.uk/properties/168115826#/?channel=RES_LET</t>
        </is>
      </c>
      <c r="K164" t="inlineStr">
        <is>
          <t>/property-to-rent/contactBranch.html?propertyId=168115826</t>
        </is>
      </c>
      <c r="L164" t="inlineStr">
        <is>
          <t>Kinleigh Folkard &amp; Hayward - Lettings, Sydenham</t>
        </is>
      </c>
      <c r="M164" t="n">
        <v>239978</v>
      </c>
      <c r="N164" t="inlineStr">
        <is>
          <t>Added on 11/10/2025</t>
        </is>
      </c>
      <c r="O164" t="inlineStr">
        <is>
          <t>2025-10-11T09:56:29Z</t>
        </is>
      </c>
      <c r="Q164" t="inlineStr">
        <is>
          <t>SE26</t>
        </is>
      </c>
      <c r="R164" t="inlineStr">
        <is>
          <t>2025-10-16T17:42:20.204518</t>
        </is>
      </c>
      <c r="S164" t="inlineStr">
        <is>
          <t>{'let available date': '01/12/2025', 'deposit': '£2,019', 'min. tenancy': 'Ask agent', 'let type': 'Long term', 'furnish type': 'Unfurnished', 'council tax': 'Ask agent'}</t>
        </is>
      </c>
      <c r="V164" t="b">
        <v>1</v>
      </c>
      <c r="X164" t="n">
        <v>14.14</v>
      </c>
      <c r="Y164" t="n">
        <v>49.6</v>
      </c>
      <c r="Z164">
        <f>IF(AND(ISNUMBER(B164), ISNUMBER(MIN(B$2:B$486)), ISNUMBER(MAX(B$2:B$486))), IF(MAX(B$2:B$486)=MIN(B$2:B$486), 50, ROUND((MAX(B$2:B$486)-B164)/(MAX(B$2:B$486)-MIN(B$2:B$486))*100, 2)), "")</f>
        <v/>
      </c>
      <c r="AA164">
        <f>IF(AND(ISNUMBER(X164), ISNUMBER(MIN(X$2:X$486)), ISNUMBER(MAX(X$2:X$486))), IF(MAX(X$2:X$486)=MIN(X$2:X$486), 50, ROUND((MAX(X$2:X$486)-X164)/(MAX(X$2:X$486)-MIN(X$2:X$486))*100, 2)), "")</f>
        <v/>
      </c>
      <c r="AB164">
        <f>IF(AND(ISNUMBER(U164), ISNUMBER(MIN(U$2:U$486)), ISNUMBER(MAX(U$2:U$486))), IF(MAX(U$2:U$486)=MIN(U$2:U$486), 50, ROUND((U164-MIN(U$2:U$486))/(MAX(U$2:U$486)-MIN(U$2:U$486))*100, 2)), "")</f>
        <v/>
      </c>
      <c r="AC164">
        <f>IF(AND(ISNUMBER(Z164), ISNUMBER(AA164), ISNUMBER(AB164)), ROUND((Z164+AA164+AB164)/3, 2), "")</f>
        <v/>
      </c>
    </row>
    <row r="165">
      <c r="A165" t="n">
        <v>168114440</v>
      </c>
      <c r="B165" t="n">
        <v>1750</v>
      </c>
      <c r="C165" t="inlineStr">
        <is>
          <t>£1,750 pcm</t>
        </is>
      </c>
      <c r="D165" t="inlineStr">
        <is>
          <t>monthly</t>
        </is>
      </c>
      <c r="E165" t="inlineStr">
        <is>
          <t>Flat</t>
        </is>
      </c>
      <c r="F165" t="n">
        <v>2</v>
      </c>
      <c r="G165" t="n">
        <v>2</v>
      </c>
      <c r="H165" t="inlineStr">
        <is>
          <t>Oliver Avenue, South Norwood</t>
        </is>
      </c>
      <c r="I165" t="inlineStr">
        <is>
          <t>Welcome to Holly Court, South Norwood. Situated on the desirable Oliver Avenue in the heart of London, this purpose-built flat offers a perfect blend of modern living and convenience.</t>
        </is>
      </c>
      <c r="J165" t="inlineStr">
        <is>
          <t>https://www.rightmove.co.uk/properties/168114440#/?channel=RES_LET</t>
        </is>
      </c>
      <c r="K165" t="inlineStr">
        <is>
          <t>/property-to-rent/contactBranch.html?propertyId=168114440</t>
        </is>
      </c>
      <c r="L165" t="inlineStr">
        <is>
          <t>Next Move, Stoke Newington</t>
        </is>
      </c>
      <c r="M165" t="n">
        <v>13147</v>
      </c>
      <c r="N165" t="inlineStr">
        <is>
          <t>Added on 11/10/2025</t>
        </is>
      </c>
      <c r="O165" t="inlineStr">
        <is>
          <t>2025-10-11T08:30:13Z</t>
        </is>
      </c>
      <c r="R165" t="inlineStr">
        <is>
          <t>2025-10-16T17:42:20.204520</t>
        </is>
      </c>
      <c r="S165" t="inlineStr">
        <is>
          <t>{'let available date': '07/12/2025', 'deposit': 'Ask agent', 'min. tenancy': 'Ask agent', 'let type': 'Long term', 'furnish type': 'Unfurnished', 'council tax': 'Ask agent'}</t>
        </is>
      </c>
      <c r="V165" t="b">
        <v>1</v>
      </c>
      <c r="X165" t="n">
        <v>16.15</v>
      </c>
      <c r="Y165" t="n">
        <v>51.1</v>
      </c>
      <c r="Z165">
        <f>IF(AND(ISNUMBER(B165), ISNUMBER(MIN(B$2:B$486)), ISNUMBER(MAX(B$2:B$486))), IF(MAX(B$2:B$486)=MIN(B$2:B$486), 50, ROUND((MAX(B$2:B$486)-B165)/(MAX(B$2:B$486)-MIN(B$2:B$486))*100, 2)), "")</f>
        <v/>
      </c>
      <c r="AA165">
        <f>IF(AND(ISNUMBER(X165), ISNUMBER(MIN(X$2:X$486)), ISNUMBER(MAX(X$2:X$486))), IF(MAX(X$2:X$486)=MIN(X$2:X$486), 50, ROUND((MAX(X$2:X$486)-X165)/(MAX(X$2:X$486)-MIN(X$2:X$486))*100, 2)), "")</f>
        <v/>
      </c>
      <c r="AB165">
        <f>IF(AND(ISNUMBER(U165), ISNUMBER(MIN(U$2:U$486)), ISNUMBER(MAX(U$2:U$486))), IF(MAX(U$2:U$486)=MIN(U$2:U$486), 50, ROUND((U165-MIN(U$2:U$486))/(MAX(U$2:U$486)-MIN(U$2:U$486))*100, 2)), "")</f>
        <v/>
      </c>
      <c r="AC165">
        <f>IF(AND(ISNUMBER(Z165), ISNUMBER(AA165), ISNUMBER(AB165)), ROUND((Z165+AA165+AB165)/3, 2), "")</f>
        <v/>
      </c>
    </row>
    <row r="166">
      <c r="A166" t="n">
        <v>167775734</v>
      </c>
      <c r="B166" t="n">
        <v>1700</v>
      </c>
      <c r="C166" t="inlineStr">
        <is>
          <t>£1,700 pcm</t>
        </is>
      </c>
      <c r="D166" t="inlineStr">
        <is>
          <t>monthly</t>
        </is>
      </c>
      <c r="E166" t="inlineStr">
        <is>
          <t>Flat</t>
        </is>
      </c>
      <c r="F166" t="n">
        <v>2</v>
      </c>
      <c r="G166" t="n">
        <v>1</v>
      </c>
      <c r="H166" t="inlineStr">
        <is>
          <t>Tynemouth Road, CR4</t>
        </is>
      </c>
      <c r="I166" t="inlineStr">
        <is>
          <t>Welcome to this beautifully presented, spacious two double-bedroom maisonette located on a serene residential street just a short stroll from Tooting mainline station. Additionally, Tooting Broadway tube station on the Northern Line is within easy walking distance, providing excellent transport l...</t>
        </is>
      </c>
      <c r="J166" t="inlineStr">
        <is>
          <t>https://www.rightmove.co.uk/properties/167775734#/?channel=RES_LET</t>
        </is>
      </c>
      <c r="K166" t="inlineStr">
        <is>
          <t>/property-to-rent/contactBranch.html?propertyId=167775734</t>
        </is>
      </c>
      <c r="L166" t="inlineStr">
        <is>
          <t>Mercer Taylor, London</t>
        </is>
      </c>
      <c r="M166" t="n">
        <v>273146</v>
      </c>
      <c r="N166" t="inlineStr">
        <is>
          <t>Reduced on 11/10/2025</t>
        </is>
      </c>
      <c r="O166" t="inlineStr">
        <is>
          <t>2025-10-03T15:05:11Z</t>
        </is>
      </c>
      <c r="Q166" t="inlineStr">
        <is>
          <t>CR4</t>
        </is>
      </c>
      <c r="R166" t="inlineStr">
        <is>
          <t>2025-10-16T17:42:20.204522</t>
        </is>
      </c>
      <c r="S166" t="inlineStr">
        <is>
          <t>{'let available date': 'Now', 'deposit': '£1,700', 'min. tenancy': 'Ask agent', 'let type': 'Long term', 'furnish type': 'Unfurnished', 'council tax': 'Ask agent'}</t>
        </is>
      </c>
      <c r="V166" t="b">
        <v>1</v>
      </c>
      <c r="X166" t="n">
        <v>15.31</v>
      </c>
      <c r="Y166" t="n">
        <v>52.6</v>
      </c>
      <c r="Z166">
        <f>IF(AND(ISNUMBER(B166), ISNUMBER(MIN(B$2:B$486)), ISNUMBER(MAX(B$2:B$486))), IF(MAX(B$2:B$486)=MIN(B$2:B$486), 50, ROUND((MAX(B$2:B$486)-B166)/(MAX(B$2:B$486)-MIN(B$2:B$486))*100, 2)), "")</f>
        <v/>
      </c>
      <c r="AA166">
        <f>IF(AND(ISNUMBER(X166), ISNUMBER(MIN(X$2:X$486)), ISNUMBER(MAX(X$2:X$486))), IF(MAX(X$2:X$486)=MIN(X$2:X$486), 50, ROUND((MAX(X$2:X$486)-X166)/(MAX(X$2:X$486)-MIN(X$2:X$486))*100, 2)), "")</f>
        <v/>
      </c>
      <c r="AB166">
        <f>IF(AND(ISNUMBER(U166), ISNUMBER(MIN(U$2:U$486)), ISNUMBER(MAX(U$2:U$486))), IF(MAX(U$2:U$486)=MIN(U$2:U$486), 50, ROUND((U166-MIN(U$2:U$486))/(MAX(U$2:U$486)-MIN(U$2:U$486))*100, 2)), "")</f>
        <v/>
      </c>
      <c r="AC166">
        <f>IF(AND(ISNUMBER(Z166), ISNUMBER(AA166), ISNUMBER(AB166)), ROUND((Z166+AA166+AB166)/3, 2), "")</f>
        <v/>
      </c>
    </row>
    <row r="167">
      <c r="A167" t="n">
        <v>168109892</v>
      </c>
      <c r="B167" t="n">
        <v>1450</v>
      </c>
      <c r="C167" t="inlineStr">
        <is>
          <t>£1,450 pcm</t>
        </is>
      </c>
      <c r="D167" t="inlineStr">
        <is>
          <t>monthly</t>
        </is>
      </c>
      <c r="E167" t="inlineStr">
        <is>
          <t>Ground Maisonette</t>
        </is>
      </c>
      <c r="F167" t="n">
        <v>2</v>
      </c>
      <c r="G167" t="n">
        <v>1</v>
      </c>
      <c r="H167" t="inlineStr">
        <is>
          <t>Sherwood Park Road, Sutton, SM1</t>
        </is>
      </c>
      <c r="I167" t="inlineStr">
        <is>
          <t>Property number 44287.
2 bedroom ground floor flat to rent, central Sutton</t>
        </is>
      </c>
      <c r="J167" t="inlineStr">
        <is>
          <t>https://www.rightmove.co.uk/properties/168109892#/?channel=RES_LET</t>
        </is>
      </c>
      <c r="K167" t="inlineStr">
        <is>
          <t>/property-to-rent/contactBranch.html?propertyId=168109892</t>
        </is>
      </c>
      <c r="L167" t="inlineStr">
        <is>
          <t>Visum, Nationwide</t>
        </is>
      </c>
      <c r="M167" t="n">
        <v>35298</v>
      </c>
      <c r="N167" t="inlineStr">
        <is>
          <t>Added on 10/10/2025</t>
        </is>
      </c>
      <c r="O167" t="inlineStr">
        <is>
          <t>2025-10-10T21:30:38Z</t>
        </is>
      </c>
      <c r="Q167" t="inlineStr">
        <is>
          <t>SM1</t>
        </is>
      </c>
      <c r="R167" t="inlineStr">
        <is>
          <t>2025-10-16T17:42:20.204525</t>
        </is>
      </c>
      <c r="S167" t="inlineStr">
        <is>
          <t>{'let available date': 'Now', 'deposit': '£1,450', 'min. tenancy': 'Ask agent', 'let type': 'Long term', 'furnish type': 'Unfurnished', 'council tax': 'Ask agent'}</t>
        </is>
      </c>
      <c r="V167" t="b">
        <v>1</v>
      </c>
      <c r="X167" t="n">
        <v>20.15</v>
      </c>
      <c r="Y167" t="n">
        <v>60.7</v>
      </c>
      <c r="Z167">
        <f>IF(AND(ISNUMBER(B167), ISNUMBER(MIN(B$2:B$486)), ISNUMBER(MAX(B$2:B$486))), IF(MAX(B$2:B$486)=MIN(B$2:B$486), 50, ROUND((MAX(B$2:B$486)-B167)/(MAX(B$2:B$486)-MIN(B$2:B$486))*100, 2)), "")</f>
        <v/>
      </c>
      <c r="AA167">
        <f>IF(AND(ISNUMBER(X167), ISNUMBER(MIN(X$2:X$486)), ISNUMBER(MAX(X$2:X$486))), IF(MAX(X$2:X$486)=MIN(X$2:X$486), 50, ROUND((MAX(X$2:X$486)-X167)/(MAX(X$2:X$486)-MIN(X$2:X$486))*100, 2)), "")</f>
        <v/>
      </c>
      <c r="AB167">
        <f>IF(AND(ISNUMBER(U167), ISNUMBER(MIN(U$2:U$486)), ISNUMBER(MAX(U$2:U$486))), IF(MAX(U$2:U$486)=MIN(U$2:U$486), 50, ROUND((U167-MIN(U$2:U$486))/(MAX(U$2:U$486)-MIN(U$2:U$486))*100, 2)), "")</f>
        <v/>
      </c>
      <c r="AC167">
        <f>IF(AND(ISNUMBER(Z167), ISNUMBER(AA167), ISNUMBER(AB167)), ROUND((Z167+AA167+AB167)/3, 2), "")</f>
        <v/>
      </c>
    </row>
    <row r="168">
      <c r="A168" t="n">
        <v>168107441</v>
      </c>
      <c r="B168" t="n">
        <v>1600</v>
      </c>
      <c r="C168" t="inlineStr">
        <is>
          <t>£1,600 pcm</t>
        </is>
      </c>
      <c r="D168" t="inlineStr">
        <is>
          <t>monthly</t>
        </is>
      </c>
      <c r="E168" t="inlineStr">
        <is>
          <t>Apartment</t>
        </is>
      </c>
      <c r="F168" t="n">
        <v>2</v>
      </c>
      <c r="G168" t="n">
        <v>1</v>
      </c>
      <c r="H168" t="inlineStr">
        <is>
          <t>Edward Avenue, Chingford E4</t>
        </is>
      </c>
      <c r="I168" t="inlineStr">
        <is>
          <t>Offering for let this very well maintained two bedroom first floor flat situated on a quiet and sought after residential road. Added benefits include a spacious living room, a modern fitted kitchen and a contemporary bathroom, gas central heating and double glazing. The property is situa...</t>
        </is>
      </c>
      <c r="J168" t="inlineStr">
        <is>
          <t>https://www.rightmove.co.uk/properties/168107441#/?channel=RES_LET</t>
        </is>
      </c>
      <c r="K168" t="inlineStr">
        <is>
          <t>/property-to-rent/contactBranch.html?propertyId=168107441</t>
        </is>
      </c>
      <c r="L168" t="inlineStr">
        <is>
          <t>Coultons, London</t>
        </is>
      </c>
      <c r="M168" t="n">
        <v>115756</v>
      </c>
      <c r="N168" t="inlineStr">
        <is>
          <t>Added on 10/10/2025</t>
        </is>
      </c>
      <c r="O168" t="inlineStr">
        <is>
          <t>2025-10-10T19:26:35Z</t>
        </is>
      </c>
      <c r="Q168" t="inlineStr">
        <is>
          <t>E4</t>
        </is>
      </c>
      <c r="R168" t="inlineStr">
        <is>
          <t>2025-10-16T17:42:20.204527</t>
        </is>
      </c>
      <c r="S168" t="inlineStr">
        <is>
          <t>{'let available date': '01/11/2025', 'deposit': '£1,846', 'min. tenancy': 'Ask agent', 'let type': 'Long term', 'furnish type': 'Unfurnished', 'council tax': 'Ask agent'}</t>
        </is>
      </c>
      <c r="V168" t="b">
        <v>1</v>
      </c>
      <c r="X168" t="n">
        <v>19.48</v>
      </c>
      <c r="Y168" t="n">
        <v>57.2</v>
      </c>
      <c r="Z168">
        <f>IF(AND(ISNUMBER(B168), ISNUMBER(MIN(B$2:B$486)), ISNUMBER(MAX(B$2:B$486))), IF(MAX(B$2:B$486)=MIN(B$2:B$486), 50, ROUND((MAX(B$2:B$486)-B168)/(MAX(B$2:B$486)-MIN(B$2:B$486))*100, 2)), "")</f>
        <v/>
      </c>
      <c r="AA168">
        <f>IF(AND(ISNUMBER(X168), ISNUMBER(MIN(X$2:X$486)), ISNUMBER(MAX(X$2:X$486))), IF(MAX(X$2:X$486)=MIN(X$2:X$486), 50, ROUND((MAX(X$2:X$486)-X168)/(MAX(X$2:X$486)-MIN(X$2:X$486))*100, 2)), "")</f>
        <v/>
      </c>
      <c r="AB168">
        <f>IF(AND(ISNUMBER(U168), ISNUMBER(MIN(U$2:U$486)), ISNUMBER(MAX(U$2:U$486))), IF(MAX(U$2:U$486)=MIN(U$2:U$486), 50, ROUND((U168-MIN(U$2:U$486))/(MAX(U$2:U$486)-MIN(U$2:U$486))*100, 2)), "")</f>
        <v/>
      </c>
      <c r="AC168">
        <f>IF(AND(ISNUMBER(Z168), ISNUMBER(AA168), ISNUMBER(AB168)), ROUND((Z168+AA168+AB168)/3, 2), "")</f>
        <v/>
      </c>
    </row>
    <row r="169">
      <c r="A169" t="n">
        <v>168107222</v>
      </c>
      <c r="B169" t="n">
        <v>1700</v>
      </c>
      <c r="C169" t="inlineStr">
        <is>
          <t>£1,700 pcm</t>
        </is>
      </c>
      <c r="D169" t="inlineStr">
        <is>
          <t>monthly</t>
        </is>
      </c>
      <c r="E169" t="inlineStr">
        <is>
          <t>Semi-Detached</t>
        </is>
      </c>
      <c r="F169" t="n">
        <v>2</v>
      </c>
      <c r="G169" t="n">
        <v>1</v>
      </c>
      <c r="H169" t="inlineStr">
        <is>
          <t>Osprey Close, London, E11</t>
        </is>
      </c>
      <c r="I169" t="inlineStr">
        <is>
          <t> Modern 2-Bedroom Semi-Detached Home with Garage – Prime Location We’re delighted to present this well-maintained 2-bedroom, 1-bathroom semi-detached house, complete with a garage, private garde... ** Property Reference: 2653791 **</t>
        </is>
      </c>
      <c r="J169" t="inlineStr">
        <is>
          <t>https://www.rightmove.co.uk/properties/168107222#/?channel=RES_LET</t>
        </is>
      </c>
      <c r="K169" t="inlineStr">
        <is>
          <t>/property-to-rent/contactBranch.html?propertyId=168107222</t>
        </is>
      </c>
      <c r="L169" t="inlineStr">
        <is>
          <t>OpenRent, London</t>
        </is>
      </c>
      <c r="M169" t="n">
        <v>96668</v>
      </c>
      <c r="N169" t="inlineStr">
        <is>
          <t>Added on 10/10/2025</t>
        </is>
      </c>
      <c r="O169" t="inlineStr">
        <is>
          <t>2025-10-10T19:06:23Z</t>
        </is>
      </c>
      <c r="Q169" t="inlineStr">
        <is>
          <t>E11</t>
        </is>
      </c>
      <c r="R169" t="inlineStr">
        <is>
          <t>2025-10-16T17:42:20.204529</t>
        </is>
      </c>
      <c r="S169" t="inlineStr">
        <is>
          <t>{'let available date': '03/11/2025', 'deposit': '£1,700', 'min. tenancy': 'Ask agent', 'let type': 'Long term', 'furnish type': 'Unfurnished', 'council tax': 'Ask agent'}</t>
        </is>
      </c>
      <c r="V169" t="b">
        <v>1</v>
      </c>
      <c r="X169" t="n">
        <v>13.87</v>
      </c>
      <c r="Y169" t="n">
        <v>45.6</v>
      </c>
      <c r="Z169">
        <f>IF(AND(ISNUMBER(B169), ISNUMBER(MIN(B$2:B$486)), ISNUMBER(MAX(B$2:B$486))), IF(MAX(B$2:B$486)=MIN(B$2:B$486), 50, ROUND((MAX(B$2:B$486)-B169)/(MAX(B$2:B$486)-MIN(B$2:B$486))*100, 2)), "")</f>
        <v/>
      </c>
      <c r="AA169">
        <f>IF(AND(ISNUMBER(X169), ISNUMBER(MIN(X$2:X$486)), ISNUMBER(MAX(X$2:X$486))), IF(MAX(X$2:X$486)=MIN(X$2:X$486), 50, ROUND((MAX(X$2:X$486)-X169)/(MAX(X$2:X$486)-MIN(X$2:X$486))*100, 2)), "")</f>
        <v/>
      </c>
      <c r="AB169">
        <f>IF(AND(ISNUMBER(U169), ISNUMBER(MIN(U$2:U$486)), ISNUMBER(MAX(U$2:U$486))), IF(MAX(U$2:U$486)=MIN(U$2:U$486), 50, ROUND((U169-MIN(U$2:U$486))/(MAX(U$2:U$486)-MIN(U$2:U$486))*100, 2)), "")</f>
        <v/>
      </c>
      <c r="AC169">
        <f>IF(AND(ISNUMBER(Z169), ISNUMBER(AA169), ISNUMBER(AB169)), ROUND((Z169+AA169+AB169)/3, 2), "")</f>
        <v/>
      </c>
    </row>
    <row r="170">
      <c r="A170" t="n">
        <v>166848194</v>
      </c>
      <c r="B170" t="n">
        <v>1550</v>
      </c>
      <c r="C170" t="inlineStr">
        <is>
          <t>£1,550 pcm</t>
        </is>
      </c>
      <c r="D170" t="inlineStr">
        <is>
          <t>monthly</t>
        </is>
      </c>
      <c r="E170" t="inlineStr">
        <is>
          <t>Flat</t>
        </is>
      </c>
      <c r="F170" t="n">
        <v>2</v>
      </c>
      <c r="H170" t="inlineStr">
        <is>
          <t>12 Enterprise Court 234-236 Baker Street</t>
        </is>
      </c>
      <c r="I170" t="inlineStr">
        <is>
          <t>base rent: £1550, deposit: £1788.46, number of bedrooms: 2, size: 540.3 sq ft, apartment type: apartment, all pets allowed, floor: 1, heating type: gas, EPC Rating: C</t>
        </is>
      </c>
      <c r="J170" t="inlineStr">
        <is>
          <t>https://www.rightmove.co.uk/properties/166848194#/?channel=RES_LET</t>
        </is>
      </c>
      <c r="K170" t="inlineStr">
        <is>
          <t>/property-to-rent/contactBranch.html?propertyId=166848194</t>
        </is>
      </c>
      <c r="L170" t="inlineStr">
        <is>
          <t>Akelius Residential Ltd, London</t>
        </is>
      </c>
      <c r="M170" t="n">
        <v>102505</v>
      </c>
      <c r="N170" t="inlineStr">
        <is>
          <t>Reduced on 10/10/2025</t>
        </is>
      </c>
      <c r="O170" t="inlineStr">
        <is>
          <t>2025-09-10T17:59:36Z</t>
        </is>
      </c>
      <c r="R170" t="inlineStr">
        <is>
          <t>2025-10-16T17:42:20.204531</t>
        </is>
      </c>
      <c r="S170" t="inlineStr">
        <is>
          <t>{'let available date': 'Now', 'deposit': '£1,788', 'min. tenancy': 'Ask agent', 'let type': 'Long term', 'furnish type': 'Ask agent', 'council tax': 'Ask agent'}</t>
        </is>
      </c>
      <c r="T170" t="n">
        <v>540</v>
      </c>
      <c r="U170" t="n">
        <v>50</v>
      </c>
      <c r="V170" t="b">
        <v>1</v>
      </c>
      <c r="X170" t="n">
        <v>82.64</v>
      </c>
      <c r="Y170" t="n">
        <v>89.7</v>
      </c>
      <c r="Z170">
        <f>IF(AND(ISNUMBER(B170), ISNUMBER(MIN(B$2:B$486)), ISNUMBER(MAX(B$2:B$486))), IF(MAX(B$2:B$486)=MIN(B$2:B$486), 50, ROUND((MAX(B$2:B$486)-B170)/(MAX(B$2:B$486)-MIN(B$2:B$486))*100, 2)), "")</f>
        <v/>
      </c>
      <c r="AA170">
        <f>IF(AND(ISNUMBER(X170), ISNUMBER(MIN(X$2:X$486)), ISNUMBER(MAX(X$2:X$486))), IF(MAX(X$2:X$486)=MIN(X$2:X$486), 50, ROUND((MAX(X$2:X$486)-X170)/(MAX(X$2:X$486)-MIN(X$2:X$486))*100, 2)), "")</f>
        <v/>
      </c>
      <c r="AB170">
        <f>IF(AND(ISNUMBER(U170), ISNUMBER(MIN(U$2:U$486)), ISNUMBER(MAX(U$2:U$486))), IF(MAX(U$2:U$486)=MIN(U$2:U$486), 50, ROUND((U170-MIN(U$2:U$486))/(MAX(U$2:U$486)-MIN(U$2:U$486))*100, 2)), "")</f>
        <v/>
      </c>
      <c r="AC170">
        <f>IF(AND(ISNUMBER(Z170), ISNUMBER(AA170), ISNUMBER(AB170)), ROUND((Z170+AA170+AB170)/3, 2), "")</f>
        <v/>
      </c>
    </row>
    <row r="171">
      <c r="A171" t="n">
        <v>168105809</v>
      </c>
      <c r="B171" t="n">
        <v>1750</v>
      </c>
      <c r="C171" t="inlineStr">
        <is>
          <t>£1,750 pcm</t>
        </is>
      </c>
      <c r="D171" t="inlineStr">
        <is>
          <t>monthly</t>
        </is>
      </c>
      <c r="E171" t="inlineStr">
        <is>
          <t>Flat</t>
        </is>
      </c>
      <c r="F171" t="n">
        <v>2</v>
      </c>
      <c r="G171" t="n">
        <v>2</v>
      </c>
      <c r="H171" t="inlineStr">
        <is>
          <t>Pepys Road, West Wimbledon</t>
        </is>
      </c>
      <c r="I171" t="inlineStr">
        <is>
          <t>This first floor two double bedroom, two bathroom property the offers a large open plan living room/kitchen, which is great for working from home or entertaining.</t>
        </is>
      </c>
      <c r="J171" t="inlineStr">
        <is>
          <t>https://www.rightmove.co.uk/properties/168105809#/?channel=RES_LET</t>
        </is>
      </c>
      <c r="K171" t="inlineStr">
        <is>
          <t>/property-to-rent/contactBranch.html?propertyId=168105809</t>
        </is>
      </c>
      <c r="L171" t="inlineStr">
        <is>
          <t>Dexters, Wimbledon</t>
        </is>
      </c>
      <c r="M171" t="n">
        <v>84878</v>
      </c>
      <c r="N171" t="inlineStr">
        <is>
          <t>Added on 10/10/2025</t>
        </is>
      </c>
      <c r="O171" t="inlineStr">
        <is>
          <t>2025-10-10T18:09:58Z</t>
        </is>
      </c>
      <c r="R171" t="inlineStr">
        <is>
          <t>2025-10-16T17:42:20.204534</t>
        </is>
      </c>
      <c r="S171" t="inlineStr">
        <is>
          <t>{'let available date': 'Ask agent', 'deposit': '£2,019', 'min. tenancy': 'Ask agent', 'let type': 'Long term', 'furnish type': 'Part furnished', 'council tax': 'Ask agent'}</t>
        </is>
      </c>
      <c r="V171" t="b">
        <v>1</v>
      </c>
      <c r="X171" t="n">
        <v>15.18</v>
      </c>
      <c r="Y171" t="n">
        <v>51.8</v>
      </c>
      <c r="Z171">
        <f>IF(AND(ISNUMBER(B171), ISNUMBER(MIN(B$2:B$486)), ISNUMBER(MAX(B$2:B$486))), IF(MAX(B$2:B$486)=MIN(B$2:B$486), 50, ROUND((MAX(B$2:B$486)-B171)/(MAX(B$2:B$486)-MIN(B$2:B$486))*100, 2)), "")</f>
        <v/>
      </c>
      <c r="AA171">
        <f>IF(AND(ISNUMBER(X171), ISNUMBER(MIN(X$2:X$486)), ISNUMBER(MAX(X$2:X$486))), IF(MAX(X$2:X$486)=MIN(X$2:X$486), 50, ROUND((MAX(X$2:X$486)-X171)/(MAX(X$2:X$486)-MIN(X$2:X$486))*100, 2)), "")</f>
        <v/>
      </c>
      <c r="AB171">
        <f>IF(AND(ISNUMBER(U171), ISNUMBER(MIN(U$2:U$486)), ISNUMBER(MAX(U$2:U$486))), IF(MAX(U$2:U$486)=MIN(U$2:U$486), 50, ROUND((U171-MIN(U$2:U$486))/(MAX(U$2:U$486)-MIN(U$2:U$486))*100, 2)), "")</f>
        <v/>
      </c>
      <c r="AC171">
        <f>IF(AND(ISNUMBER(Z171), ISNUMBER(AA171), ISNUMBER(AB171)), ROUND((Z171+AA171+AB171)/3, 2), "")</f>
        <v/>
      </c>
    </row>
    <row r="172">
      <c r="A172" t="n">
        <v>168103499</v>
      </c>
      <c r="B172" t="n">
        <v>1700</v>
      </c>
      <c r="C172" t="inlineStr">
        <is>
          <t>£1,700 pcm</t>
        </is>
      </c>
      <c r="D172" t="inlineStr">
        <is>
          <t>monthly</t>
        </is>
      </c>
      <c r="E172" t="inlineStr">
        <is>
          <t>Flat</t>
        </is>
      </c>
      <c r="F172" t="n">
        <v>2</v>
      </c>
      <c r="G172" t="n">
        <v>1</v>
      </c>
      <c r="H172" t="inlineStr">
        <is>
          <t>Brownhill Road, London, SE6</t>
        </is>
      </c>
      <c r="I172" t="inlineStr">
        <is>
          <t>This well-presented two-bedroom flat offers comfortable and contemporary living, ideal for professionals or small families. Located on the second floor, the property features a large master bedroom with ample space for storage, alongside a smaller second bedroom perfect for use as a guest room, ...</t>
        </is>
      </c>
      <c r="J172" t="inlineStr">
        <is>
          <t>https://www.rightmove.co.uk/properties/168103499#/?channel=RES_LET</t>
        </is>
      </c>
      <c r="K172" t="inlineStr">
        <is>
          <t>/property-to-rent/contactBranch.html?propertyId=168103499</t>
        </is>
      </c>
      <c r="L172" t="inlineStr">
        <is>
          <t>Your Move, Bromley</t>
        </is>
      </c>
      <c r="M172" t="n">
        <v>6590</v>
      </c>
      <c r="N172" t="inlineStr">
        <is>
          <t>Added on 10/10/2025</t>
        </is>
      </c>
      <c r="O172" t="inlineStr">
        <is>
          <t>2025-10-10T17:30:42Z</t>
        </is>
      </c>
      <c r="Q172" t="inlineStr">
        <is>
          <t>SE6</t>
        </is>
      </c>
      <c r="R172" t="inlineStr">
        <is>
          <t>2025-10-16T17:42:21.609306</t>
        </is>
      </c>
      <c r="S172" t="inlineStr">
        <is>
          <t>{'let available date': '31/10/2025', 'deposit': '£1,961', 'min. tenancy': 'Ask agent', 'let type': 'Long term', 'furnish type': 'Ask agent', 'council tax': 'Ask agent'}</t>
        </is>
      </c>
      <c r="V172" t="b">
        <v>1</v>
      </c>
      <c r="X172" t="n">
        <v>14.74</v>
      </c>
      <c r="Y172" t="n">
        <v>50.4</v>
      </c>
      <c r="Z172">
        <f>IF(AND(ISNUMBER(B172), ISNUMBER(MIN(B$2:B$486)), ISNUMBER(MAX(B$2:B$486))), IF(MAX(B$2:B$486)=MIN(B$2:B$486), 50, ROUND((MAX(B$2:B$486)-B172)/(MAX(B$2:B$486)-MIN(B$2:B$486))*100, 2)), "")</f>
        <v/>
      </c>
      <c r="AA172">
        <f>IF(AND(ISNUMBER(X172), ISNUMBER(MIN(X$2:X$486)), ISNUMBER(MAX(X$2:X$486))), IF(MAX(X$2:X$486)=MIN(X$2:X$486), 50, ROUND((MAX(X$2:X$486)-X172)/(MAX(X$2:X$486)-MIN(X$2:X$486))*100, 2)), "")</f>
        <v/>
      </c>
      <c r="AB172">
        <f>IF(AND(ISNUMBER(U172), ISNUMBER(MIN(U$2:U$486)), ISNUMBER(MAX(U$2:U$486))), IF(MAX(U$2:U$486)=MIN(U$2:U$486), 50, ROUND((U172-MIN(U$2:U$486))/(MAX(U$2:U$486)-MIN(U$2:U$486))*100, 2)), "")</f>
        <v/>
      </c>
      <c r="AC172">
        <f>IF(AND(ISNUMBER(Z172), ISNUMBER(AA172), ISNUMBER(AB172)), ROUND((Z172+AA172+AB172)/3, 2), "")</f>
        <v/>
      </c>
    </row>
    <row r="173">
      <c r="A173" t="n">
        <v>168103022</v>
      </c>
      <c r="B173" t="n">
        <v>1750</v>
      </c>
      <c r="C173" t="inlineStr">
        <is>
          <t>£1,750 pcm</t>
        </is>
      </c>
      <c r="D173" t="inlineStr">
        <is>
          <t>monthly</t>
        </is>
      </c>
      <c r="E173" t="inlineStr">
        <is>
          <t>Flat</t>
        </is>
      </c>
      <c r="F173" t="n">
        <v>2</v>
      </c>
      <c r="G173" t="n">
        <v>1</v>
      </c>
      <c r="H173" t="inlineStr">
        <is>
          <t>Albert Drive, Southfields</t>
        </is>
      </c>
      <c r="I173" t="inlineStr">
        <is>
          <t>A two bedroom, one bathroom, raised ground floor apartment with a separate kitchen and a dual aspect reception room which offers ample space for both living and dining.</t>
        </is>
      </c>
      <c r="J173" t="inlineStr">
        <is>
          <t>https://www.rightmove.co.uk/properties/168103022#/?channel=RES_LET</t>
        </is>
      </c>
      <c r="K173" t="inlineStr">
        <is>
          <t>/property-to-rent/contactBranch.html?propertyId=168103022</t>
        </is>
      </c>
      <c r="L173" t="inlineStr">
        <is>
          <t>Dexters, Wimbledon</t>
        </is>
      </c>
      <c r="M173" t="n">
        <v>84878</v>
      </c>
      <c r="N173" t="inlineStr">
        <is>
          <t>Added on 10/10/2025</t>
        </is>
      </c>
      <c r="O173" t="inlineStr">
        <is>
          <t>2025-10-10T17:25:44Z</t>
        </is>
      </c>
      <c r="R173" t="inlineStr">
        <is>
          <t>2025-10-16T17:42:21.609318</t>
        </is>
      </c>
      <c r="S173" t="inlineStr">
        <is>
          <t>{'let available date': 'Ask agent', 'deposit': '£2,019', 'min. tenancy': 'Ask agent', 'let type': 'Long term', 'furnish type': 'Unfurnished', 'council tax': 'Ask agent'}</t>
        </is>
      </c>
      <c r="V173" t="b">
        <v>1</v>
      </c>
      <c r="X173" t="n">
        <v>11.52</v>
      </c>
      <c r="Y173" t="n">
        <v>42.9</v>
      </c>
      <c r="Z173">
        <f>IF(AND(ISNUMBER(B173), ISNUMBER(MIN(B$2:B$486)), ISNUMBER(MAX(B$2:B$486))), IF(MAX(B$2:B$486)=MIN(B$2:B$486), 50, ROUND((MAX(B$2:B$486)-B173)/(MAX(B$2:B$486)-MIN(B$2:B$486))*100, 2)), "")</f>
        <v/>
      </c>
      <c r="AA173">
        <f>IF(AND(ISNUMBER(X173), ISNUMBER(MIN(X$2:X$486)), ISNUMBER(MAX(X$2:X$486))), IF(MAX(X$2:X$486)=MIN(X$2:X$486), 50, ROUND((MAX(X$2:X$486)-X173)/(MAX(X$2:X$486)-MIN(X$2:X$486))*100, 2)), "")</f>
        <v/>
      </c>
      <c r="AB173">
        <f>IF(AND(ISNUMBER(U173), ISNUMBER(MIN(U$2:U$486)), ISNUMBER(MAX(U$2:U$486))), IF(MAX(U$2:U$486)=MIN(U$2:U$486), 50, ROUND((U173-MIN(U$2:U$486))/(MAX(U$2:U$486)-MIN(U$2:U$486))*100, 2)), "")</f>
        <v/>
      </c>
      <c r="AC173">
        <f>IF(AND(ISNUMBER(Z173), ISNUMBER(AA173), ISNUMBER(AB173)), ROUND((Z173+AA173+AB173)/3, 2), "")</f>
        <v/>
      </c>
    </row>
    <row r="174">
      <c r="A174" t="n">
        <v>166717184</v>
      </c>
      <c r="B174" t="n">
        <v>1650</v>
      </c>
      <c r="C174" t="inlineStr">
        <is>
          <t>£1,650 pcm</t>
        </is>
      </c>
      <c r="D174" t="inlineStr">
        <is>
          <t>monthly</t>
        </is>
      </c>
      <c r="E174" t="inlineStr">
        <is>
          <t>Flat</t>
        </is>
      </c>
      <c r="F174" t="n">
        <v>2</v>
      </c>
      <c r="G174" t="n">
        <v>1</v>
      </c>
      <c r="H174" t="inlineStr">
        <is>
          <t>Pullman Place, Eltham, London, SE9</t>
        </is>
      </c>
      <c r="I174" t="inlineStr">
        <is>
          <t>Belvoir are delighted to present this top floor two-bedroom apartment situated in an extremely convenient location for Eltham train station. Presented in excellent decorative condition throughout this flat is perfectly placed within walking distance to Eltham train station, highly regarded school...</t>
        </is>
      </c>
      <c r="J174" t="inlineStr">
        <is>
          <t>https://www.rightmove.co.uk/properties/166717184#/?channel=RES_LET</t>
        </is>
      </c>
      <c r="K174" t="inlineStr">
        <is>
          <t>/property-to-rent/contactBranch.html?propertyId=166717184</t>
        </is>
      </c>
      <c r="L174" t="inlineStr">
        <is>
          <t>Belvoir, Sidcup</t>
        </is>
      </c>
      <c r="M174" t="n">
        <v>60185</v>
      </c>
      <c r="N174" t="inlineStr">
        <is>
          <t>Reduced on 10/10/2025</t>
        </is>
      </c>
      <c r="O174" t="inlineStr">
        <is>
          <t>2025-09-08T12:34:04Z</t>
        </is>
      </c>
      <c r="Q174" t="inlineStr">
        <is>
          <t>SE9</t>
        </is>
      </c>
      <c r="R174" t="inlineStr">
        <is>
          <t>2025-10-16T17:42:21.609327</t>
        </is>
      </c>
      <c r="S174" t="inlineStr">
        <is>
          <t>{'let available date': 'Now', 'deposit': '£1,961', 'min. tenancy': 'Ask agent', 'let type': 'Long term', 'furnish type': 'Unfurnished', 'council tax': 'Ask agent'}</t>
        </is>
      </c>
      <c r="T174" t="n">
        <v>558</v>
      </c>
      <c r="U174" t="n">
        <v>52</v>
      </c>
      <c r="V174" t="b">
        <v>1</v>
      </c>
      <c r="X174" t="n">
        <v>22.55</v>
      </c>
      <c r="Y174" t="n">
        <v>51.8</v>
      </c>
      <c r="Z174">
        <f>IF(AND(ISNUMBER(B174), ISNUMBER(MIN(B$2:B$486)), ISNUMBER(MAX(B$2:B$486))), IF(MAX(B$2:B$486)=MIN(B$2:B$486), 50, ROUND((MAX(B$2:B$486)-B174)/(MAX(B$2:B$486)-MIN(B$2:B$486))*100, 2)), "")</f>
        <v/>
      </c>
      <c r="AA174">
        <f>IF(AND(ISNUMBER(X174), ISNUMBER(MIN(X$2:X$486)), ISNUMBER(MAX(X$2:X$486))), IF(MAX(X$2:X$486)=MIN(X$2:X$486), 50, ROUND((MAX(X$2:X$486)-X174)/(MAX(X$2:X$486)-MIN(X$2:X$486))*100, 2)), "")</f>
        <v/>
      </c>
      <c r="AB174">
        <f>IF(AND(ISNUMBER(U174), ISNUMBER(MIN(U$2:U$486)), ISNUMBER(MAX(U$2:U$486))), IF(MAX(U$2:U$486)=MIN(U$2:U$486), 50, ROUND((U174-MIN(U$2:U$486))/(MAX(U$2:U$486)-MIN(U$2:U$486))*100, 2)), "")</f>
        <v/>
      </c>
      <c r="AC174">
        <f>IF(AND(ISNUMBER(Z174), ISNUMBER(AA174), ISNUMBER(AB174)), ROUND((Z174+AA174+AB174)/3, 2), "")</f>
        <v/>
      </c>
    </row>
    <row r="175">
      <c r="A175" t="n">
        <v>168097466</v>
      </c>
      <c r="B175" t="n">
        <v>1700</v>
      </c>
      <c r="C175" t="inlineStr">
        <is>
          <t>£1,700 pcm</t>
        </is>
      </c>
      <c r="D175" t="inlineStr">
        <is>
          <t>monthly</t>
        </is>
      </c>
      <c r="E175" t="inlineStr">
        <is>
          <t>Flat</t>
        </is>
      </c>
      <c r="F175" t="n">
        <v>2</v>
      </c>
      <c r="G175" t="n">
        <v>1</v>
      </c>
      <c r="H175" t="inlineStr">
        <is>
          <t>Fillebrook Road, London, E11</t>
        </is>
      </c>
      <c r="I175" t="inlineStr">
        <is>
          <t>Large, newly refurbished 2 bedroom flat 3 minutes from tube. * Fully equipped modern kitchen and bathroom * Washing machine (washer/dryer), * TV with remote control, * Double Glazi... ** Property Reference: 2654754 **</t>
        </is>
      </c>
      <c r="J175" t="inlineStr">
        <is>
          <t>https://www.rightmove.co.uk/properties/168097466#/?channel=RES_LET</t>
        </is>
      </c>
      <c r="K175" t="inlineStr">
        <is>
          <t>/property-to-rent/contactBranch.html?propertyId=168097466</t>
        </is>
      </c>
      <c r="L175" t="inlineStr">
        <is>
          <t>OpenRent, London</t>
        </is>
      </c>
      <c r="M175" t="n">
        <v>96668</v>
      </c>
      <c r="N175" t="inlineStr">
        <is>
          <t>Added on 10/10/2025</t>
        </is>
      </c>
      <c r="O175" t="inlineStr">
        <is>
          <t>2025-10-10T16:28:54Z</t>
        </is>
      </c>
      <c r="Q175" t="inlineStr">
        <is>
          <t>E11</t>
        </is>
      </c>
      <c r="R175" t="inlineStr">
        <is>
          <t>2025-10-16T17:42:21.609337</t>
        </is>
      </c>
      <c r="S175" t="inlineStr">
        <is>
          <t>{'let available date': '18/10/2025', 'deposit': '£1,962', 'min. tenancy': 'Ask agent', 'let type': 'Long term', 'furnish type': 'Furnished', 'council tax': 'Ask agent'}</t>
        </is>
      </c>
      <c r="V175" t="b">
        <v>1</v>
      </c>
      <c r="X175" t="n">
        <v>13.87</v>
      </c>
      <c r="Y175" t="n">
        <v>45.6</v>
      </c>
      <c r="Z175">
        <f>IF(AND(ISNUMBER(B175), ISNUMBER(MIN(B$2:B$486)), ISNUMBER(MAX(B$2:B$486))), IF(MAX(B$2:B$486)=MIN(B$2:B$486), 50, ROUND((MAX(B$2:B$486)-B175)/(MAX(B$2:B$486)-MIN(B$2:B$486))*100, 2)), "")</f>
        <v/>
      </c>
      <c r="AA175">
        <f>IF(AND(ISNUMBER(X175), ISNUMBER(MIN(X$2:X$486)), ISNUMBER(MAX(X$2:X$486))), IF(MAX(X$2:X$486)=MIN(X$2:X$486), 50, ROUND((MAX(X$2:X$486)-X175)/(MAX(X$2:X$486)-MIN(X$2:X$486))*100, 2)), "")</f>
        <v/>
      </c>
      <c r="AB175">
        <f>IF(AND(ISNUMBER(U175), ISNUMBER(MIN(U$2:U$486)), ISNUMBER(MAX(U$2:U$486))), IF(MAX(U$2:U$486)=MIN(U$2:U$486), 50, ROUND((U175-MIN(U$2:U$486))/(MAX(U$2:U$486)-MIN(U$2:U$486))*100, 2)), "")</f>
        <v/>
      </c>
      <c r="AC175">
        <f>IF(AND(ISNUMBER(Z175), ISNUMBER(AA175), ISNUMBER(AB175)), ROUND((Z175+AA175+AB175)/3, 2), "")</f>
        <v/>
      </c>
    </row>
    <row r="176">
      <c r="A176" t="n">
        <v>168095540</v>
      </c>
      <c r="B176" t="n">
        <v>1700</v>
      </c>
      <c r="C176" t="inlineStr">
        <is>
          <t>£1,700 pcm</t>
        </is>
      </c>
      <c r="D176" t="inlineStr">
        <is>
          <t>monthly</t>
        </is>
      </c>
      <c r="E176" t="inlineStr">
        <is>
          <t>Flat</t>
        </is>
      </c>
      <c r="F176" t="n">
        <v>2</v>
      </c>
      <c r="G176" t="n">
        <v>1</v>
      </c>
      <c r="H176" t="inlineStr">
        <is>
          <t>Fyfield Road, Enfield</t>
        </is>
      </c>
      <c r="I176" t="inlineStr">
        <is>
          <t>Target Property are pleased to present this beautifully appointed first-floor Edwardian conversion, offering two well-proportioned bedrooms and set in the vibrant heart of Enfield Town. This charming property showcases a spacious lounge enhanced by an elegant feature fireplace, alongside...</t>
        </is>
      </c>
      <c r="J176" t="inlineStr">
        <is>
          <t>https://www.rightmove.co.uk/properties/168095540#/?channel=RES_LET</t>
        </is>
      </c>
      <c r="K176" t="inlineStr">
        <is>
          <t>/property-to-rent/contactBranch.html?propertyId=168095540</t>
        </is>
      </c>
      <c r="L176" t="inlineStr">
        <is>
          <t>Target Property, Cheshunt</t>
        </is>
      </c>
      <c r="M176" t="n">
        <v>74120</v>
      </c>
      <c r="N176" t="inlineStr">
        <is>
          <t>Added on 10/10/2025</t>
        </is>
      </c>
      <c r="O176" t="inlineStr">
        <is>
          <t>2025-10-10T16:10:13Z</t>
        </is>
      </c>
      <c r="R176" t="inlineStr">
        <is>
          <t>2025-10-16T17:42:21.609346</t>
        </is>
      </c>
      <c r="S176" t="inlineStr">
        <is>
          <t>{'let available date': 'Now', 'deposit': '£1,961', 'min. tenancy': 'Ask agent', 'let type': 'Long term', 'furnish type': 'Ask agent', 'council tax': 'Ask agent'}</t>
        </is>
      </c>
      <c r="T176" t="n">
        <v>722</v>
      </c>
      <c r="U176" t="n">
        <v>67</v>
      </c>
      <c r="V176" t="b">
        <v>1</v>
      </c>
      <c r="X176" t="n">
        <v>19.29</v>
      </c>
      <c r="Y176" t="n">
        <v>60.6</v>
      </c>
      <c r="Z176">
        <f>IF(AND(ISNUMBER(B176), ISNUMBER(MIN(B$2:B$486)), ISNUMBER(MAX(B$2:B$486))), IF(MAX(B$2:B$486)=MIN(B$2:B$486), 50, ROUND((MAX(B$2:B$486)-B176)/(MAX(B$2:B$486)-MIN(B$2:B$486))*100, 2)), "")</f>
        <v/>
      </c>
      <c r="AA176">
        <f>IF(AND(ISNUMBER(X176), ISNUMBER(MIN(X$2:X$486)), ISNUMBER(MAX(X$2:X$486))), IF(MAX(X$2:X$486)=MIN(X$2:X$486), 50, ROUND((MAX(X$2:X$486)-X176)/(MAX(X$2:X$486)-MIN(X$2:X$486))*100, 2)), "")</f>
        <v/>
      </c>
      <c r="AB176">
        <f>IF(AND(ISNUMBER(U176), ISNUMBER(MIN(U$2:U$486)), ISNUMBER(MAX(U$2:U$486))), IF(MAX(U$2:U$486)=MIN(U$2:U$486), 50, ROUND((U176-MIN(U$2:U$486))/(MAX(U$2:U$486)-MIN(U$2:U$486))*100, 2)), "")</f>
        <v/>
      </c>
      <c r="AC176">
        <f>IF(AND(ISNUMBER(Z176), ISNUMBER(AA176), ISNUMBER(AB176)), ROUND((Z176+AA176+AB176)/3, 2), "")</f>
        <v/>
      </c>
    </row>
    <row r="177">
      <c r="A177" t="n">
        <v>168095072</v>
      </c>
      <c r="B177" t="n">
        <v>1750</v>
      </c>
      <c r="C177" t="inlineStr">
        <is>
          <t>£1,750 pcm</t>
        </is>
      </c>
      <c r="D177" t="inlineStr">
        <is>
          <t>monthly</t>
        </is>
      </c>
      <c r="E177" t="inlineStr">
        <is>
          <t>Flat</t>
        </is>
      </c>
      <c r="F177" t="n">
        <v>2</v>
      </c>
      <c r="G177" t="n">
        <v>1</v>
      </c>
      <c r="H177" t="inlineStr">
        <is>
          <t>Old Church, Road, London, E4</t>
        </is>
      </c>
      <c r="I177" t="inlineStr">
        <is>
          <t>A bright and well-presented two-bedroom flat ideally located in the heart of Chingford, within easy reach of shops, cafés, and excellent transport links to Central London.</t>
        </is>
      </c>
      <c r="J177" t="inlineStr">
        <is>
          <t>https://www.rightmove.co.uk/properties/168095072#/?channel=RES_LET</t>
        </is>
      </c>
      <c r="K177" t="inlineStr">
        <is>
          <t>/property-to-rent/contactBranch.html?propertyId=168095072</t>
        </is>
      </c>
      <c r="L177" t="inlineStr">
        <is>
          <t>Upper Class Estates, Stoke Newington</t>
        </is>
      </c>
      <c r="M177" t="n">
        <v>224045</v>
      </c>
      <c r="N177" t="inlineStr">
        <is>
          <t>Added on 10/10/2025</t>
        </is>
      </c>
      <c r="O177" t="inlineStr">
        <is>
          <t>2025-10-10T16:05:40Z</t>
        </is>
      </c>
      <c r="Q177" t="inlineStr">
        <is>
          <t>E4</t>
        </is>
      </c>
      <c r="R177" t="inlineStr">
        <is>
          <t>2025-10-16T17:42:21.609356</t>
        </is>
      </c>
      <c r="S177" t="inlineStr">
        <is>
          <t>{'let available date': 'Now', 'deposit': '£2,019', 'min. tenancy': '24 months', 'let type': 'Long term', 'furnish type': 'Unfurnished', 'council tax': 'Ask agent'}</t>
        </is>
      </c>
      <c r="V177" t="b">
        <v>1</v>
      </c>
      <c r="X177" t="n">
        <v>19.48</v>
      </c>
      <c r="Y177" t="n">
        <v>57.2</v>
      </c>
      <c r="Z177">
        <f>IF(AND(ISNUMBER(B177), ISNUMBER(MIN(B$2:B$486)), ISNUMBER(MAX(B$2:B$486))), IF(MAX(B$2:B$486)=MIN(B$2:B$486), 50, ROUND((MAX(B$2:B$486)-B177)/(MAX(B$2:B$486)-MIN(B$2:B$486))*100, 2)), "")</f>
        <v/>
      </c>
      <c r="AA177">
        <f>IF(AND(ISNUMBER(X177), ISNUMBER(MIN(X$2:X$486)), ISNUMBER(MAX(X$2:X$486))), IF(MAX(X$2:X$486)=MIN(X$2:X$486), 50, ROUND((MAX(X$2:X$486)-X177)/(MAX(X$2:X$486)-MIN(X$2:X$486))*100, 2)), "")</f>
        <v/>
      </c>
      <c r="AB177">
        <f>IF(AND(ISNUMBER(U177), ISNUMBER(MIN(U$2:U$486)), ISNUMBER(MAX(U$2:U$486))), IF(MAX(U$2:U$486)=MIN(U$2:U$486), 50, ROUND((U177-MIN(U$2:U$486))/(MAX(U$2:U$486)-MIN(U$2:U$486))*100, 2)), "")</f>
        <v/>
      </c>
      <c r="AC177">
        <f>IF(AND(ISNUMBER(Z177), ISNUMBER(AA177), ISNUMBER(AB177)), ROUND((Z177+AA177+AB177)/3, 2), "")</f>
        <v/>
      </c>
    </row>
    <row r="178">
      <c r="A178" t="n">
        <v>168092750</v>
      </c>
      <c r="B178" t="n">
        <v>1550</v>
      </c>
      <c r="C178" t="inlineStr">
        <is>
          <t>£1,550 pcm</t>
        </is>
      </c>
      <c r="D178" t="inlineStr">
        <is>
          <t>monthly</t>
        </is>
      </c>
      <c r="E178" t="inlineStr">
        <is>
          <t>Flat</t>
        </is>
      </c>
      <c r="F178" t="n">
        <v>2</v>
      </c>
      <c r="G178" t="n">
        <v>1</v>
      </c>
      <c r="H178" t="inlineStr">
        <is>
          <t>Heathfield Drive, Mitcham, London, CR4</t>
        </is>
      </c>
      <c r="I178" t="inlineStr">
        <is>
          <t>We are proud to offer this delightful 2 bedroom, 1 bathroom flat in a great location. Short walk to shops, supermarkets and within close proximity to Colliers Wood (Nothern Line) tube station. Acc... ** Property Reference: 2228374 **</t>
        </is>
      </c>
      <c r="J178" t="inlineStr">
        <is>
          <t>https://www.rightmove.co.uk/properties/168092750#/?channel=RES_LET</t>
        </is>
      </c>
      <c r="K178" t="inlineStr">
        <is>
          <t>/property-to-rent/contactBranch.html?propertyId=168092750</t>
        </is>
      </c>
      <c r="L178" t="inlineStr">
        <is>
          <t>OpenRent, London</t>
        </is>
      </c>
      <c r="M178" t="n">
        <v>96668</v>
      </c>
      <c r="N178" t="inlineStr">
        <is>
          <t>Added on 10/10/2025</t>
        </is>
      </c>
      <c r="O178" t="inlineStr">
        <is>
          <t>2025-10-10T15:44:23Z</t>
        </is>
      </c>
      <c r="Q178" t="inlineStr">
        <is>
          <t>CR4</t>
        </is>
      </c>
      <c r="R178" t="inlineStr">
        <is>
          <t>2025-10-16T17:42:21.609365</t>
        </is>
      </c>
      <c r="S178" t="inlineStr">
        <is>
          <t>{'let available date': '15/11/2025', 'deposit': '£1,788', 'min. tenancy': 'Ask agent', 'let type': 'Long term', 'furnish type': 'Furnished', 'council tax': 'Ask agent'}</t>
        </is>
      </c>
      <c r="V178" t="b">
        <v>1</v>
      </c>
      <c r="X178" t="n">
        <v>15.31</v>
      </c>
      <c r="Y178" t="n">
        <v>52.6</v>
      </c>
      <c r="Z178">
        <f>IF(AND(ISNUMBER(B178), ISNUMBER(MIN(B$2:B$486)), ISNUMBER(MAX(B$2:B$486))), IF(MAX(B$2:B$486)=MIN(B$2:B$486), 50, ROUND((MAX(B$2:B$486)-B178)/(MAX(B$2:B$486)-MIN(B$2:B$486))*100, 2)), "")</f>
        <v/>
      </c>
      <c r="AA178">
        <f>IF(AND(ISNUMBER(X178), ISNUMBER(MIN(X$2:X$486)), ISNUMBER(MAX(X$2:X$486))), IF(MAX(X$2:X$486)=MIN(X$2:X$486), 50, ROUND((MAX(X$2:X$486)-X178)/(MAX(X$2:X$486)-MIN(X$2:X$486))*100, 2)), "")</f>
        <v/>
      </c>
      <c r="AB178">
        <f>IF(AND(ISNUMBER(U178), ISNUMBER(MIN(U$2:U$486)), ISNUMBER(MAX(U$2:U$486))), IF(MAX(U$2:U$486)=MIN(U$2:U$486), 50, ROUND((U178-MIN(U$2:U$486))/(MAX(U$2:U$486)-MIN(U$2:U$486))*100, 2)), "")</f>
        <v/>
      </c>
      <c r="AC178">
        <f>IF(AND(ISNUMBER(Z178), ISNUMBER(AA178), ISNUMBER(AB178)), ROUND((Z178+AA178+AB178)/3, 2), "")</f>
        <v/>
      </c>
    </row>
    <row r="179">
      <c r="A179" t="n">
        <v>168002246</v>
      </c>
      <c r="B179" t="n">
        <v>1650</v>
      </c>
      <c r="C179" t="inlineStr">
        <is>
          <t>£1,650 pcm</t>
        </is>
      </c>
      <c r="D179" t="inlineStr">
        <is>
          <t>monthly</t>
        </is>
      </c>
      <c r="E179" t="inlineStr">
        <is>
          <t>Flat</t>
        </is>
      </c>
      <c r="F179" t="n">
        <v>2</v>
      </c>
      <c r="G179" t="n">
        <v>1</v>
      </c>
      <c r="H179" t="inlineStr">
        <is>
          <t>Summerhill Road London, N15</t>
        </is>
      </c>
      <c r="I179" t="inlineStr">
        <is>
          <t>A charming and well-presented 2-bedroom flat situated in a peaceful residential area close to transport links and local amenities. The property offers a comfortable living space with plenty of natural light and access to a</t>
        </is>
      </c>
      <c r="J179" t="inlineStr">
        <is>
          <t>https://www.rightmove.co.uk/properties/168002246#/?channel=RES_LET</t>
        </is>
      </c>
      <c r="K179" t="inlineStr">
        <is>
          <t>/property-to-rent/contactBranch.html?propertyId=168002246</t>
        </is>
      </c>
      <c r="L179" t="inlineStr">
        <is>
          <t>Upper Class Estates, Stoke Newington</t>
        </is>
      </c>
      <c r="M179" t="n">
        <v>224045</v>
      </c>
      <c r="N179" t="inlineStr">
        <is>
          <t>Reduced on 10/10/2025</t>
        </is>
      </c>
      <c r="O179" t="inlineStr">
        <is>
          <t>2025-10-08T17:19:55Z</t>
        </is>
      </c>
      <c r="Q179" t="inlineStr">
        <is>
          <t>N15</t>
        </is>
      </c>
      <c r="R179" t="inlineStr">
        <is>
          <t>2025-10-16T17:42:21.609373</t>
        </is>
      </c>
      <c r="S179" t="inlineStr">
        <is>
          <t>{'let available date': 'Now', 'deposit': '£1,650', 'min. tenancy': '12 months', 'let type': 'Long term', 'furnish type': 'Furnished or unfurnished, landlord is flexible', 'council tax': 'Ask agent'}</t>
        </is>
      </c>
      <c r="V179" t="b">
        <v>1</v>
      </c>
      <c r="X179" t="n">
        <v>11.06</v>
      </c>
      <c r="Y179" t="n">
        <v>40.7</v>
      </c>
      <c r="Z179">
        <f>IF(AND(ISNUMBER(B179), ISNUMBER(MIN(B$2:B$486)), ISNUMBER(MAX(B$2:B$486))), IF(MAX(B$2:B$486)=MIN(B$2:B$486), 50, ROUND((MAX(B$2:B$486)-B179)/(MAX(B$2:B$486)-MIN(B$2:B$486))*100, 2)), "")</f>
        <v/>
      </c>
      <c r="AA179">
        <f>IF(AND(ISNUMBER(X179), ISNUMBER(MIN(X$2:X$486)), ISNUMBER(MAX(X$2:X$486))), IF(MAX(X$2:X$486)=MIN(X$2:X$486), 50, ROUND((MAX(X$2:X$486)-X179)/(MAX(X$2:X$486)-MIN(X$2:X$486))*100, 2)), "")</f>
        <v/>
      </c>
      <c r="AB179">
        <f>IF(AND(ISNUMBER(U179), ISNUMBER(MIN(U$2:U$486)), ISNUMBER(MAX(U$2:U$486))), IF(MAX(U$2:U$486)=MIN(U$2:U$486), 50, ROUND((U179-MIN(U$2:U$486))/(MAX(U$2:U$486)-MIN(U$2:U$486))*100, 2)), "")</f>
        <v/>
      </c>
      <c r="AC179">
        <f>IF(AND(ISNUMBER(Z179), ISNUMBER(AA179), ISNUMBER(AB179)), ROUND((Z179+AA179+AB179)/3, 2), "")</f>
        <v/>
      </c>
    </row>
    <row r="180">
      <c r="A180" t="n">
        <v>166718555</v>
      </c>
      <c r="B180" t="n">
        <v>1650</v>
      </c>
      <c r="C180" t="inlineStr">
        <is>
          <t>£1,650 pcm</t>
        </is>
      </c>
      <c r="D180" t="inlineStr">
        <is>
          <t>monthly</t>
        </is>
      </c>
      <c r="E180" t="inlineStr">
        <is>
          <t>Apartment</t>
        </is>
      </c>
      <c r="F180" t="n">
        <v>2</v>
      </c>
      <c r="G180" t="n">
        <v>1</v>
      </c>
      <c r="H180" t="inlineStr">
        <is>
          <t>Southwood Close Worcester Park</t>
        </is>
      </c>
      <c r="I180" t="inlineStr">
        <is>
          <t>A beautifully presented two-bedroom flat including garage is now available to let. Freshly decorated space, the property features brand new carpets throughout, creating a warm and inviting atmosphere. Ideal for professionals or a small family, this well-maintained flat is ready for immediate occu...</t>
        </is>
      </c>
      <c r="J180" t="inlineStr">
        <is>
          <t>https://www.rightmove.co.uk/properties/166718555#/?channel=RES_LET</t>
        </is>
      </c>
      <c r="K180" t="inlineStr">
        <is>
          <t>/property-to-rent/contactBranch.html?propertyId=166718555</t>
        </is>
      </c>
      <c r="L180" t="inlineStr">
        <is>
          <t>Keys Residential, New Malden</t>
        </is>
      </c>
      <c r="M180" t="n">
        <v>34266</v>
      </c>
      <c r="N180" t="inlineStr">
        <is>
          <t>Reduced on 10/10/2025</t>
        </is>
      </c>
      <c r="O180" t="inlineStr">
        <is>
          <t>2025-09-08T12:54:50Z</t>
        </is>
      </c>
      <c r="R180" t="inlineStr">
        <is>
          <t>2025-10-16T17:42:21.609381</t>
        </is>
      </c>
      <c r="S180" t="inlineStr">
        <is>
          <t>{'let available date': 'Now', 'deposit': '£1,903', 'min. tenancy': 'Ask agent', 'let type': 'Long term', 'furnish type': 'Unfurnished', 'council tax': 'Ask agent'}</t>
        </is>
      </c>
      <c r="V180" t="b">
        <v>1</v>
      </c>
      <c r="X180" t="n">
        <v>20.34</v>
      </c>
      <c r="Y180" t="n">
        <v>63</v>
      </c>
      <c r="Z180">
        <f>IF(AND(ISNUMBER(B180), ISNUMBER(MIN(B$2:B$486)), ISNUMBER(MAX(B$2:B$486))), IF(MAX(B$2:B$486)=MIN(B$2:B$486), 50, ROUND((MAX(B$2:B$486)-B180)/(MAX(B$2:B$486)-MIN(B$2:B$486))*100, 2)), "")</f>
        <v/>
      </c>
      <c r="AA180">
        <f>IF(AND(ISNUMBER(X180), ISNUMBER(MIN(X$2:X$486)), ISNUMBER(MAX(X$2:X$486))), IF(MAX(X$2:X$486)=MIN(X$2:X$486), 50, ROUND((MAX(X$2:X$486)-X180)/(MAX(X$2:X$486)-MIN(X$2:X$486))*100, 2)), "")</f>
        <v/>
      </c>
      <c r="AB180">
        <f>IF(AND(ISNUMBER(U180), ISNUMBER(MIN(U$2:U$486)), ISNUMBER(MAX(U$2:U$486))), IF(MAX(U$2:U$486)=MIN(U$2:U$486), 50, ROUND((U180-MIN(U$2:U$486))/(MAX(U$2:U$486)-MIN(U$2:U$486))*100, 2)), "")</f>
        <v/>
      </c>
      <c r="AC180">
        <f>IF(AND(ISNUMBER(Z180), ISNUMBER(AA180), ISNUMBER(AB180)), ROUND((Z180+AA180+AB180)/3, 2), "")</f>
        <v/>
      </c>
    </row>
    <row r="181">
      <c r="A181" t="n">
        <v>167412302</v>
      </c>
      <c r="B181" t="n">
        <v>1650</v>
      </c>
      <c r="C181" t="inlineStr">
        <is>
          <t>£1,650 pcm</t>
        </is>
      </c>
      <c r="D181" t="inlineStr">
        <is>
          <t>monthly</t>
        </is>
      </c>
      <c r="E181" t="inlineStr">
        <is>
          <t>Apartment</t>
        </is>
      </c>
      <c r="F181" t="n">
        <v>2</v>
      </c>
      <c r="G181" t="n">
        <v>1</v>
      </c>
      <c r="H181" t="inlineStr">
        <is>
          <t>High Street, Teddington</t>
        </is>
      </c>
      <c r="I181" t="inlineStr">
        <is>
          <t>Available to move into immediately, this charming and spacious two bedroom apartment located the heart of Teddington. The living area is bright and spacious, while the kitchen is seperate. The bedrooms are generously sized. Situated in a convenient location, you will hav...</t>
        </is>
      </c>
      <c r="J181" t="inlineStr">
        <is>
          <t>https://www.rightmove.co.uk/properties/167412302#/?channel=RES_LET</t>
        </is>
      </c>
      <c r="K181" t="inlineStr">
        <is>
          <t>/property-to-rent/contactBranch.html?propertyId=167412302</t>
        </is>
      </c>
      <c r="L181" t="inlineStr">
        <is>
          <t>Chase Buchanan, Teddington &amp; Hampton Wick</t>
        </is>
      </c>
      <c r="M181" t="n">
        <v>77583</v>
      </c>
      <c r="N181" t="inlineStr">
        <is>
          <t>Reduced on 10/10/2025</t>
        </is>
      </c>
      <c r="O181" t="inlineStr">
        <is>
          <t>2025-09-25T11:32:21Z</t>
        </is>
      </c>
      <c r="R181" t="inlineStr">
        <is>
          <t>2025-10-16T17:42:21.609391</t>
        </is>
      </c>
      <c r="S181" t="inlineStr">
        <is>
          <t>{'let available date': 'Ask agent', 'deposit': '£0', 'min. tenancy': '12 months', 'let type': 'Long term', 'furnish type': 'Ask agent', 'council tax': 'Ask agent'}</t>
        </is>
      </c>
      <c r="V181" t="b">
        <v>1</v>
      </c>
      <c r="X181" t="n">
        <v>20.67</v>
      </c>
      <c r="Y181" t="n">
        <v>60.4</v>
      </c>
      <c r="Z181">
        <f>IF(AND(ISNUMBER(B181), ISNUMBER(MIN(B$2:B$486)), ISNUMBER(MAX(B$2:B$486))), IF(MAX(B$2:B$486)=MIN(B$2:B$486), 50, ROUND((MAX(B$2:B$486)-B181)/(MAX(B$2:B$486)-MIN(B$2:B$486))*100, 2)), "")</f>
        <v/>
      </c>
      <c r="AA181">
        <f>IF(AND(ISNUMBER(X181), ISNUMBER(MIN(X$2:X$486)), ISNUMBER(MAX(X$2:X$486))), IF(MAX(X$2:X$486)=MIN(X$2:X$486), 50, ROUND((MAX(X$2:X$486)-X181)/(MAX(X$2:X$486)-MIN(X$2:X$486))*100, 2)), "")</f>
        <v/>
      </c>
      <c r="AB181">
        <f>IF(AND(ISNUMBER(U181), ISNUMBER(MIN(U$2:U$486)), ISNUMBER(MAX(U$2:U$486))), IF(MAX(U$2:U$486)=MIN(U$2:U$486), 50, ROUND((U181-MIN(U$2:U$486))/(MAX(U$2:U$486)-MIN(U$2:U$486))*100, 2)), "")</f>
        <v/>
      </c>
      <c r="AC181">
        <f>IF(AND(ISNUMBER(Z181), ISNUMBER(AA181), ISNUMBER(AB181)), ROUND((Z181+AA181+AB181)/3, 2), "")</f>
        <v/>
      </c>
    </row>
    <row r="182">
      <c r="A182" t="n">
        <v>168086480</v>
      </c>
      <c r="B182" t="n">
        <v>1500</v>
      </c>
      <c r="C182" t="inlineStr">
        <is>
          <t>£1,500 pcm</t>
        </is>
      </c>
      <c r="D182" t="inlineStr">
        <is>
          <t>monthly</t>
        </is>
      </c>
      <c r="E182" t="inlineStr">
        <is>
          <t>Flat</t>
        </is>
      </c>
      <c r="F182" t="n">
        <v>2</v>
      </c>
      <c r="G182" t="n">
        <v>1</v>
      </c>
      <c r="H182" t="inlineStr">
        <is>
          <t xml:space="preserve">Stephenson House, Hurst Lane, Abbeywood, SE2 </t>
        </is>
      </c>
      <c r="I182" t="inlineStr">
        <is>
          <t>Spacious 2 bedroom top floor purpose built flat, situated very close to woodland and only a short distance to Abbey Wood station and local shopping facilities. The property comprises entrance hall, lounge with access to balcony, fitted kitchen, 2 bedrooms and bathroom. Other benefits from gas cen...</t>
        </is>
      </c>
      <c r="J182" t="inlineStr">
        <is>
          <t>https://www.rightmove.co.uk/properties/168086480#/?channel=RES_LET</t>
        </is>
      </c>
      <c r="K182" t="inlineStr">
        <is>
          <t>/property-to-rent/contactBranch.html?propertyId=168086480</t>
        </is>
      </c>
      <c r="L182" t="inlineStr">
        <is>
          <t>hi-residential, South East London</t>
        </is>
      </c>
      <c r="M182" t="n">
        <v>5609</v>
      </c>
      <c r="N182" t="inlineStr">
        <is>
          <t>Added on 10/10/2025</t>
        </is>
      </c>
      <c r="O182" t="inlineStr">
        <is>
          <t>2025-10-10T14:32:46Z</t>
        </is>
      </c>
      <c r="Q182" t="inlineStr">
        <is>
          <t>SE2</t>
        </is>
      </c>
      <c r="R182" t="inlineStr">
        <is>
          <t>2025-10-16T17:42:21.609399</t>
        </is>
      </c>
      <c r="S182" t="inlineStr">
        <is>
          <t>{'let available date': 'Now', 'deposit': '£1,730', 'min. tenancy': 'Ask agent', 'let type': 'Long term', 'furnish type': 'Part furnished', 'council tax': 'Ask agent'}</t>
        </is>
      </c>
      <c r="V182" t="b">
        <v>1</v>
      </c>
      <c r="X182" t="n">
        <v>30.16</v>
      </c>
      <c r="Y182" t="n">
        <v>60.8</v>
      </c>
      <c r="Z182">
        <f>IF(AND(ISNUMBER(B182), ISNUMBER(MIN(B$2:B$486)), ISNUMBER(MAX(B$2:B$486))), IF(MAX(B$2:B$486)=MIN(B$2:B$486), 50, ROUND((MAX(B$2:B$486)-B182)/(MAX(B$2:B$486)-MIN(B$2:B$486))*100, 2)), "")</f>
        <v/>
      </c>
      <c r="AA182">
        <f>IF(AND(ISNUMBER(X182), ISNUMBER(MIN(X$2:X$486)), ISNUMBER(MAX(X$2:X$486))), IF(MAX(X$2:X$486)=MIN(X$2:X$486), 50, ROUND((MAX(X$2:X$486)-X182)/(MAX(X$2:X$486)-MIN(X$2:X$486))*100, 2)), "")</f>
        <v/>
      </c>
      <c r="AB182">
        <f>IF(AND(ISNUMBER(U182), ISNUMBER(MIN(U$2:U$486)), ISNUMBER(MAX(U$2:U$486))), IF(MAX(U$2:U$486)=MIN(U$2:U$486), 50, ROUND((U182-MIN(U$2:U$486))/(MAX(U$2:U$486)-MIN(U$2:U$486))*100, 2)), "")</f>
        <v/>
      </c>
      <c r="AC182">
        <f>IF(AND(ISNUMBER(Z182), ISNUMBER(AA182), ISNUMBER(AB182)), ROUND((Z182+AA182+AB182)/3, 2), "")</f>
        <v/>
      </c>
    </row>
    <row r="183">
      <c r="A183" t="n">
        <v>168078866</v>
      </c>
      <c r="B183" t="n">
        <v>1700</v>
      </c>
      <c r="C183" t="inlineStr">
        <is>
          <t>£1,700 pcm</t>
        </is>
      </c>
      <c r="D183" t="inlineStr">
        <is>
          <t>monthly</t>
        </is>
      </c>
      <c r="E183" t="inlineStr">
        <is>
          <t>Flat</t>
        </is>
      </c>
      <c r="F183" t="n">
        <v>2</v>
      </c>
      <c r="G183" t="n">
        <v>1</v>
      </c>
      <c r="H183" t="inlineStr">
        <is>
          <t>Arcadian Gardens, Wood Green, London, N22</t>
        </is>
      </c>
      <c r="I183" t="inlineStr">
        <is>
          <t xml:space="preserve">Two double bedroom apartment, set on the first floor of a period property in a quiet, residential location. Offered unfurnished, the apartment has a fully fitted kitchen, bathroom with two piece suite, separate WC, large reception with small balcony and two double bedrooms. </t>
        </is>
      </c>
      <c r="J183" t="inlineStr">
        <is>
          <t>https://www.rightmove.co.uk/properties/168078866#/?channel=RES_LET</t>
        </is>
      </c>
      <c r="K183" t="inlineStr">
        <is>
          <t>/property-to-rent/contactBranch.html?propertyId=168078866</t>
        </is>
      </c>
      <c r="L183" t="inlineStr">
        <is>
          <t>Anthony Pepe Estate Agents, Harringay</t>
        </is>
      </c>
      <c r="M183" t="n">
        <v>73589</v>
      </c>
      <c r="N183" t="inlineStr">
        <is>
          <t>Added on 10/10/2025</t>
        </is>
      </c>
      <c r="O183" t="inlineStr">
        <is>
          <t>2025-10-10T12:47:05Z</t>
        </is>
      </c>
      <c r="Q183" t="inlineStr">
        <is>
          <t>N22</t>
        </is>
      </c>
      <c r="R183" t="inlineStr">
        <is>
          <t>2025-10-16T17:42:21.609411</t>
        </is>
      </c>
      <c r="S183" t="inlineStr">
        <is>
          <t>{'let available date': 'Ask agent', 'deposit': '£1,961', 'min. tenancy': 'Ask agent', 'let type': 'Long term', 'furnish type': 'Unfurnished', 'council tax': 'Ask agent'}</t>
        </is>
      </c>
      <c r="V183" t="b">
        <v>1</v>
      </c>
      <c r="X183" t="n">
        <v>12.67</v>
      </c>
      <c r="Y183" t="n">
        <v>48</v>
      </c>
      <c r="Z183">
        <f>IF(AND(ISNUMBER(B183), ISNUMBER(MIN(B$2:B$486)), ISNUMBER(MAX(B$2:B$486))), IF(MAX(B$2:B$486)=MIN(B$2:B$486), 50, ROUND((MAX(B$2:B$486)-B183)/(MAX(B$2:B$486)-MIN(B$2:B$486))*100, 2)), "")</f>
        <v/>
      </c>
      <c r="AA183">
        <f>IF(AND(ISNUMBER(X183), ISNUMBER(MIN(X$2:X$486)), ISNUMBER(MAX(X$2:X$486))), IF(MAX(X$2:X$486)=MIN(X$2:X$486), 50, ROUND((MAX(X$2:X$486)-X183)/(MAX(X$2:X$486)-MIN(X$2:X$486))*100, 2)), "")</f>
        <v/>
      </c>
      <c r="AB183">
        <f>IF(AND(ISNUMBER(U183), ISNUMBER(MIN(U$2:U$486)), ISNUMBER(MAX(U$2:U$486))), IF(MAX(U$2:U$486)=MIN(U$2:U$486), 50, ROUND((U183-MIN(U$2:U$486))/(MAX(U$2:U$486)-MIN(U$2:U$486))*100, 2)), "")</f>
        <v/>
      </c>
      <c r="AC183">
        <f>IF(AND(ISNUMBER(Z183), ISNUMBER(AA183), ISNUMBER(AB183)), ROUND((Z183+AA183+AB183)/3, 2), "")</f>
        <v/>
      </c>
    </row>
    <row r="184">
      <c r="A184" t="n">
        <v>168077426</v>
      </c>
      <c r="B184" t="n">
        <v>1450</v>
      </c>
      <c r="C184" t="inlineStr">
        <is>
          <t>£1,450 pcm</t>
        </is>
      </c>
      <c r="D184" t="inlineStr">
        <is>
          <t>monthly</t>
        </is>
      </c>
      <c r="E184" t="inlineStr">
        <is>
          <t>Flat</t>
        </is>
      </c>
      <c r="F184" t="n">
        <v>2</v>
      </c>
      <c r="G184" t="n">
        <v>1</v>
      </c>
      <c r="H184" t="inlineStr">
        <is>
          <t>Philips Close, Carshalton, Greater London, SM5</t>
        </is>
      </c>
      <c r="I184" t="inlineStr">
        <is>
          <t>A modern and newly decorated two bedroom top floor flat only a 5 minute walk to Hackbridge station. Unfurnished. Ample residents parking. AVAILABLE IMMEDIATELY</t>
        </is>
      </c>
      <c r="J184" t="inlineStr">
        <is>
          <t>https://www.rightmove.co.uk/properties/168077426#/?channel=RES_LET</t>
        </is>
      </c>
      <c r="K184" t="inlineStr">
        <is>
          <t>/property-to-rent/contactBranch.html?propertyId=168077426</t>
        </is>
      </c>
      <c r="L184" t="inlineStr">
        <is>
          <t>Kenyons Estate Agents, Carshalton</t>
        </is>
      </c>
      <c r="M184" t="n">
        <v>8348</v>
      </c>
      <c r="N184" t="inlineStr">
        <is>
          <t>Added on 10/10/2025</t>
        </is>
      </c>
      <c r="O184" t="inlineStr">
        <is>
          <t>2025-10-10T12:39:02Z</t>
        </is>
      </c>
      <c r="Q184" t="inlineStr">
        <is>
          <t>SM5</t>
        </is>
      </c>
      <c r="R184" t="inlineStr">
        <is>
          <t>2025-10-16T17:42:21.609421</t>
        </is>
      </c>
      <c r="S184" t="inlineStr">
        <is>
          <t>{'let available date': '18/10/2025', 'deposit': 'Ask agent', 'min. tenancy': '12 months', 'let type': 'Long term', 'furnish type': 'Unfurnished', 'council tax': 'Ask agent'}</t>
        </is>
      </c>
      <c r="V184" t="b">
        <v>1</v>
      </c>
      <c r="X184" t="n">
        <v>21.04</v>
      </c>
      <c r="Y184" t="n">
        <v>65.59999999999999</v>
      </c>
      <c r="Z184">
        <f>IF(AND(ISNUMBER(B184), ISNUMBER(MIN(B$2:B$486)), ISNUMBER(MAX(B$2:B$486))), IF(MAX(B$2:B$486)=MIN(B$2:B$486), 50, ROUND((MAX(B$2:B$486)-B184)/(MAX(B$2:B$486)-MIN(B$2:B$486))*100, 2)), "")</f>
        <v/>
      </c>
      <c r="AA184">
        <f>IF(AND(ISNUMBER(X184), ISNUMBER(MIN(X$2:X$486)), ISNUMBER(MAX(X$2:X$486))), IF(MAX(X$2:X$486)=MIN(X$2:X$486), 50, ROUND((MAX(X$2:X$486)-X184)/(MAX(X$2:X$486)-MIN(X$2:X$486))*100, 2)), "")</f>
        <v/>
      </c>
      <c r="AB184">
        <f>IF(AND(ISNUMBER(U184), ISNUMBER(MIN(U$2:U$486)), ISNUMBER(MAX(U$2:U$486))), IF(MAX(U$2:U$486)=MIN(U$2:U$486), 50, ROUND((U184-MIN(U$2:U$486))/(MAX(U$2:U$486)-MIN(U$2:U$486))*100, 2)), "")</f>
        <v/>
      </c>
      <c r="AC184">
        <f>IF(AND(ISNUMBER(Z184), ISNUMBER(AA184), ISNUMBER(AB184)), ROUND((Z184+AA184+AB184)/3, 2), "")</f>
        <v/>
      </c>
    </row>
    <row r="185">
      <c r="A185" t="n">
        <v>168049988</v>
      </c>
      <c r="B185" t="n">
        <v>1750</v>
      </c>
      <c r="C185" t="inlineStr">
        <is>
          <t>£1,750 pcm</t>
        </is>
      </c>
      <c r="D185" t="inlineStr">
        <is>
          <t>monthly</t>
        </is>
      </c>
      <c r="E185" t="inlineStr">
        <is>
          <t>Flat</t>
        </is>
      </c>
      <c r="F185" t="n">
        <v>2</v>
      </c>
      <c r="G185" t="n">
        <v>1</v>
      </c>
      <c r="H185" t="inlineStr">
        <is>
          <t>Westbury Avenue, Wood Green</t>
        </is>
      </c>
      <c r="I185" t="inlineStr">
        <is>
          <t>Located on the first floor, this two bedroom flat is bright and spacious throughout. The property includes an open plan kitchen reception room and a family bathroom.</t>
        </is>
      </c>
      <c r="J185" t="inlineStr">
        <is>
          <t>https://www.rightmove.co.uk/properties/168049988#/?channel=RES_LET</t>
        </is>
      </c>
      <c r="K185" t="inlineStr">
        <is>
          <t>/property-to-rent/contactBranch.html?propertyId=168049988</t>
        </is>
      </c>
      <c r="L185" t="inlineStr">
        <is>
          <t>Marsh &amp; Parsons, Camden Town &amp; Tufnell Park</t>
        </is>
      </c>
      <c r="M185" t="n">
        <v>111710</v>
      </c>
      <c r="N185" t="inlineStr">
        <is>
          <t>Reduced on 10/10/2025</t>
        </is>
      </c>
      <c r="O185" t="inlineStr">
        <is>
          <t>2025-10-09T16:57:51Z</t>
        </is>
      </c>
      <c r="R185" t="inlineStr">
        <is>
          <t>2025-10-16T17:42:21.609434</t>
        </is>
      </c>
      <c r="S185" t="inlineStr">
        <is>
          <t>{'let available date': 'Ask agent', 'deposit': '£2,019', 'min. tenancy': 'Ask agent', 'let type': 'Long term', 'furnish type': 'Furnished', 'council tax': 'Ask agent'}</t>
        </is>
      </c>
      <c r="V185" t="b">
        <v>1</v>
      </c>
      <c r="X185" t="n">
        <v>11.5</v>
      </c>
      <c r="Y185" t="n">
        <v>44.8</v>
      </c>
      <c r="Z185">
        <f>IF(AND(ISNUMBER(B185), ISNUMBER(MIN(B$2:B$486)), ISNUMBER(MAX(B$2:B$486))), IF(MAX(B$2:B$486)=MIN(B$2:B$486), 50, ROUND((MAX(B$2:B$486)-B185)/(MAX(B$2:B$486)-MIN(B$2:B$486))*100, 2)), "")</f>
        <v/>
      </c>
      <c r="AA185">
        <f>IF(AND(ISNUMBER(X185), ISNUMBER(MIN(X$2:X$486)), ISNUMBER(MAX(X$2:X$486))), IF(MAX(X$2:X$486)=MIN(X$2:X$486), 50, ROUND((MAX(X$2:X$486)-X185)/(MAX(X$2:X$486)-MIN(X$2:X$486))*100, 2)), "")</f>
        <v/>
      </c>
      <c r="AB185">
        <f>IF(AND(ISNUMBER(U185), ISNUMBER(MIN(U$2:U$486)), ISNUMBER(MAX(U$2:U$486))), IF(MAX(U$2:U$486)=MIN(U$2:U$486), 50, ROUND((U185-MIN(U$2:U$486))/(MAX(U$2:U$486)-MIN(U$2:U$486))*100, 2)), "")</f>
        <v/>
      </c>
      <c r="AC185">
        <f>IF(AND(ISNUMBER(Z185), ISNUMBER(AA185), ISNUMBER(AB185)), ROUND((Z185+AA185+AB185)/3, 2), "")</f>
        <v/>
      </c>
    </row>
    <row r="186">
      <c r="A186" t="n">
        <v>166767764</v>
      </c>
      <c r="B186" t="n">
        <v>1700</v>
      </c>
      <c r="C186" t="inlineStr">
        <is>
          <t>£1,700 pcm</t>
        </is>
      </c>
      <c r="D186" t="inlineStr">
        <is>
          <t>monthly</t>
        </is>
      </c>
      <c r="E186" t="inlineStr">
        <is>
          <t>Apartment</t>
        </is>
      </c>
      <c r="F186" t="n">
        <v>2</v>
      </c>
      <c r="G186" t="n">
        <v>1</v>
      </c>
      <c r="H186" t="inlineStr">
        <is>
          <t>Birchanger Road, London, SE25</t>
        </is>
      </c>
      <c r="I186" t="inlineStr">
        <is>
          <t>This charming and spacious two-bedroom garden flat offers exceptional living space in one of South London’s most sought-after residential areas. Situated on Birchanger Road, a quiet, tree-lined street known for its strong community feel and excellent transport links.</t>
        </is>
      </c>
      <c r="J186" t="inlineStr">
        <is>
          <t>https://www.rightmove.co.uk/properties/166767764#/?channel=RES_LET</t>
        </is>
      </c>
      <c r="K186" t="inlineStr">
        <is>
          <t>/property-to-rent/contactBranch.html?propertyId=166767764</t>
        </is>
      </c>
      <c r="L186" t="inlineStr">
        <is>
          <t>Streets Ahead, South Norwood</t>
        </is>
      </c>
      <c r="M186" t="n">
        <v>181634</v>
      </c>
      <c r="N186" t="inlineStr">
        <is>
          <t>Reduced on 10/10/2025</t>
        </is>
      </c>
      <c r="O186" t="inlineStr">
        <is>
          <t>2025-09-09T12:37:33Z</t>
        </is>
      </c>
      <c r="Q186" t="inlineStr">
        <is>
          <t>SE25</t>
        </is>
      </c>
      <c r="R186" t="inlineStr">
        <is>
          <t>2025-10-16T17:42:21.609444</t>
        </is>
      </c>
      <c r="S186" t="inlineStr">
        <is>
          <t>{'let available date': 'Now', 'deposit': '£1,961', 'min. tenancy': 'Ask agent', 'let type': 'Long term', 'furnish type': 'Unfurnished', 'council tax': 'Ask agent'}</t>
        </is>
      </c>
      <c r="V186" t="b">
        <v>1</v>
      </c>
      <c r="X186" t="n">
        <v>16.69</v>
      </c>
      <c r="Y186" t="n">
        <v>52.9</v>
      </c>
      <c r="Z186">
        <f>IF(AND(ISNUMBER(B186), ISNUMBER(MIN(B$2:B$486)), ISNUMBER(MAX(B$2:B$486))), IF(MAX(B$2:B$486)=MIN(B$2:B$486), 50, ROUND((MAX(B$2:B$486)-B186)/(MAX(B$2:B$486)-MIN(B$2:B$486))*100, 2)), "")</f>
        <v/>
      </c>
      <c r="AA186">
        <f>IF(AND(ISNUMBER(X186), ISNUMBER(MIN(X$2:X$486)), ISNUMBER(MAX(X$2:X$486))), IF(MAX(X$2:X$486)=MIN(X$2:X$486), 50, ROUND((MAX(X$2:X$486)-X186)/(MAX(X$2:X$486)-MIN(X$2:X$486))*100, 2)), "")</f>
        <v/>
      </c>
      <c r="AB186">
        <f>IF(AND(ISNUMBER(U186), ISNUMBER(MIN(U$2:U$486)), ISNUMBER(MAX(U$2:U$486))), IF(MAX(U$2:U$486)=MIN(U$2:U$486), 50, ROUND((U186-MIN(U$2:U$486))/(MAX(U$2:U$486)-MIN(U$2:U$486))*100, 2)), "")</f>
        <v/>
      </c>
      <c r="AC186">
        <f>IF(AND(ISNUMBER(Z186), ISNUMBER(AA186), ISNUMBER(AB186)), ROUND((Z186+AA186+AB186)/3, 2), "")</f>
        <v/>
      </c>
    </row>
    <row r="187">
      <c r="A187" t="n">
        <v>167143430</v>
      </c>
      <c r="B187" t="n">
        <v>1600</v>
      </c>
      <c r="C187" t="inlineStr">
        <is>
          <t>£1,600 pcm</t>
        </is>
      </c>
      <c r="D187" t="inlineStr">
        <is>
          <t>monthly</t>
        </is>
      </c>
      <c r="E187" t="inlineStr">
        <is>
          <t>Flat</t>
        </is>
      </c>
      <c r="F187" t="n">
        <v>2</v>
      </c>
      <c r="G187" t="n">
        <v>1</v>
      </c>
      <c r="H187" t="inlineStr">
        <is>
          <t>Lincoln Close, London, SE25</t>
        </is>
      </c>
      <c r="I187" t="inlineStr">
        <is>
          <t>This delightful two-bedroom property available for rent in the heart of South Norwood. Available Now!</t>
        </is>
      </c>
      <c r="J187" t="inlineStr">
        <is>
          <t>https://www.rightmove.co.uk/properties/167143430#/?channel=RES_LET</t>
        </is>
      </c>
      <c r="K187" t="inlineStr">
        <is>
          <t>/property-to-rent/contactBranch.html?propertyId=167143430</t>
        </is>
      </c>
      <c r="L187" t="inlineStr">
        <is>
          <t>Kinleigh Folkard &amp; Hayward - Lettings, Crystal Palace</t>
        </is>
      </c>
      <c r="M187" t="n">
        <v>85706</v>
      </c>
      <c r="N187" t="inlineStr">
        <is>
          <t>Reduced on 09/10/2025</t>
        </is>
      </c>
      <c r="O187" t="inlineStr">
        <is>
          <t>2025-09-18T12:48:03Z</t>
        </is>
      </c>
      <c r="Q187" t="inlineStr">
        <is>
          <t>SE25</t>
        </is>
      </c>
      <c r="R187" t="inlineStr">
        <is>
          <t>2025-10-16T17:42:21.609450</t>
        </is>
      </c>
      <c r="S187" t="inlineStr">
        <is>
          <t>{'let available date': 'Now', 'deposit': '£0', 'min. tenancy': 'Ask agent', 'let type': 'Long term', 'furnish type': 'Unfurnished', 'council tax': 'Ask agent'}</t>
        </is>
      </c>
      <c r="V187" t="b">
        <v>1</v>
      </c>
      <c r="X187" t="n">
        <v>16.69</v>
      </c>
      <c r="Y187" t="n">
        <v>52.9</v>
      </c>
      <c r="Z187">
        <f>IF(AND(ISNUMBER(B187), ISNUMBER(MIN(B$2:B$486)), ISNUMBER(MAX(B$2:B$486))), IF(MAX(B$2:B$486)=MIN(B$2:B$486), 50, ROUND((MAX(B$2:B$486)-B187)/(MAX(B$2:B$486)-MIN(B$2:B$486))*100, 2)), "")</f>
        <v/>
      </c>
      <c r="AA187">
        <f>IF(AND(ISNUMBER(X187), ISNUMBER(MIN(X$2:X$486)), ISNUMBER(MAX(X$2:X$486))), IF(MAX(X$2:X$486)=MIN(X$2:X$486), 50, ROUND((MAX(X$2:X$486)-X187)/(MAX(X$2:X$486)-MIN(X$2:X$486))*100, 2)), "")</f>
        <v/>
      </c>
      <c r="AB187">
        <f>IF(AND(ISNUMBER(U187), ISNUMBER(MIN(U$2:U$486)), ISNUMBER(MAX(U$2:U$486))), IF(MAX(U$2:U$486)=MIN(U$2:U$486), 50, ROUND((U187-MIN(U$2:U$486))/(MAX(U$2:U$486)-MIN(U$2:U$486))*100, 2)), "")</f>
        <v/>
      </c>
      <c r="AC187">
        <f>IF(AND(ISNUMBER(Z187), ISNUMBER(AA187), ISNUMBER(AB187)), ROUND((Z187+AA187+AB187)/3, 2), "")</f>
        <v/>
      </c>
    </row>
    <row r="188">
      <c r="A188" t="n">
        <v>168054233</v>
      </c>
      <c r="B188" t="n">
        <v>1700</v>
      </c>
      <c r="C188" t="inlineStr">
        <is>
          <t>£1,700 pcm</t>
        </is>
      </c>
      <c r="D188" t="inlineStr">
        <is>
          <t>monthly</t>
        </is>
      </c>
      <c r="E188" t="inlineStr">
        <is>
          <t>Flat</t>
        </is>
      </c>
      <c r="F188" t="n">
        <v>2</v>
      </c>
      <c r="G188" t="n">
        <v>1</v>
      </c>
      <c r="H188" t="inlineStr">
        <is>
          <t>Leigh Hunt Drive, Southgate N14</t>
        </is>
      </c>
      <c r="I188" t="inlineStr">
        <is>
          <t>Addison Townsend are pleased to present this fantastically located 2 bedroom 1st floor apartment situated 0.3 miles to Southgate tube &amp; all amenities. With a large lounge with Juliet balcony, fitted kitchen, tiled bathroom &amp; 2 bedrooms. With laminated flooring throughout, neutrally decorated, dou...</t>
        </is>
      </c>
      <c r="J188" t="inlineStr">
        <is>
          <t>https://www.rightmove.co.uk/properties/168054233#/?channel=RES_LET</t>
        </is>
      </c>
      <c r="K188" t="inlineStr">
        <is>
          <t>/property-to-rent/contactBranch.html?propertyId=168054233</t>
        </is>
      </c>
      <c r="L188" t="inlineStr">
        <is>
          <t>Addison Townsend, Southgate</t>
        </is>
      </c>
      <c r="M188" t="n">
        <v>38757</v>
      </c>
      <c r="N188" t="inlineStr">
        <is>
          <t>Added on 09/10/2025</t>
        </is>
      </c>
      <c r="O188" t="inlineStr">
        <is>
          <t>2025-10-09T18:32:04Z</t>
        </is>
      </c>
      <c r="Q188" t="inlineStr">
        <is>
          <t>N14</t>
        </is>
      </c>
      <c r="R188" t="inlineStr">
        <is>
          <t>2025-10-16T17:42:21.609458</t>
        </is>
      </c>
      <c r="S188" t="inlineStr">
        <is>
          <t>{'let available date': '07/11/2025', 'deposit': '£1,961', 'min. tenancy': '12 months', 'let type': 'Long term', 'furnish type': 'Unfurnished', 'council tax': 'Ask agent'}</t>
        </is>
      </c>
      <c r="V188" t="b">
        <v>1</v>
      </c>
      <c r="X188" t="n">
        <v>18.48</v>
      </c>
      <c r="Y188" t="n">
        <v>52.1</v>
      </c>
      <c r="Z188">
        <f>IF(AND(ISNUMBER(B188), ISNUMBER(MIN(B$2:B$486)), ISNUMBER(MAX(B$2:B$486))), IF(MAX(B$2:B$486)=MIN(B$2:B$486), 50, ROUND((MAX(B$2:B$486)-B188)/(MAX(B$2:B$486)-MIN(B$2:B$486))*100, 2)), "")</f>
        <v/>
      </c>
      <c r="AA188">
        <f>IF(AND(ISNUMBER(X188), ISNUMBER(MIN(X$2:X$486)), ISNUMBER(MAX(X$2:X$486))), IF(MAX(X$2:X$486)=MIN(X$2:X$486), 50, ROUND((MAX(X$2:X$486)-X188)/(MAX(X$2:X$486)-MIN(X$2:X$486))*100, 2)), "")</f>
        <v/>
      </c>
      <c r="AB188">
        <f>IF(AND(ISNUMBER(U188), ISNUMBER(MIN(U$2:U$486)), ISNUMBER(MAX(U$2:U$486))), IF(MAX(U$2:U$486)=MIN(U$2:U$486), 50, ROUND((U188-MIN(U$2:U$486))/(MAX(U$2:U$486)-MIN(U$2:U$486))*100, 2)), "")</f>
        <v/>
      </c>
      <c r="AC188">
        <f>IF(AND(ISNUMBER(Z188), ISNUMBER(AA188), ISNUMBER(AB188)), ROUND((Z188+AA188+AB188)/3, 2), "")</f>
        <v/>
      </c>
    </row>
    <row r="189">
      <c r="A189" t="n">
        <v>168051410</v>
      </c>
      <c r="B189" t="n">
        <v>392</v>
      </c>
      <c r="C189" t="inlineStr">
        <is>
          <t>£1,699 pcm</t>
        </is>
      </c>
      <c r="D189" t="inlineStr">
        <is>
          <t>weekly</t>
        </is>
      </c>
      <c r="E189" t="inlineStr">
        <is>
          <t>Flat</t>
        </is>
      </c>
      <c r="F189" t="n">
        <v>2</v>
      </c>
      <c r="G189" t="n">
        <v>1</v>
      </c>
      <c r="H189" t="inlineStr">
        <is>
          <t>Anderson Close, North Acton W3 6YJ</t>
        </is>
      </c>
      <c r="I189" t="inlineStr">
        <is>
          <t>2 Double bedroom top floor flat in a private development (Zone 2, Central Line) * Bedrooms with built in wardrobes * Modern and spacious bathroom with a shower cubicle * Modern fitted kitchen * Ample storage space * Secure entry phone system * Allocated parking * ...</t>
        </is>
      </c>
      <c r="J189" t="inlineStr">
        <is>
          <t>https://www.rightmove.co.uk/properties/168051410#/?channel=RES_LET</t>
        </is>
      </c>
      <c r="K189" t="inlineStr">
        <is>
          <t>/property-to-rent/contactBranch.html?propertyId=168051410</t>
        </is>
      </c>
      <c r="L189" t="inlineStr">
        <is>
          <t>Churchill &amp; Mathesons Estate Agents, Acton</t>
        </is>
      </c>
      <c r="M189" t="n">
        <v>90035</v>
      </c>
      <c r="N189" t="inlineStr">
        <is>
          <t>Added on 09/10/2025</t>
        </is>
      </c>
      <c r="O189" t="inlineStr">
        <is>
          <t>2025-10-09T17:19:33Z</t>
        </is>
      </c>
      <c r="Q189" t="inlineStr">
        <is>
          <t>W3</t>
        </is>
      </c>
      <c r="R189" t="inlineStr">
        <is>
          <t>2025-10-16T17:42:21.609467</t>
        </is>
      </c>
      <c r="S189" t="inlineStr">
        <is>
          <t>{'let available date': 'Now', 'deposit': '£1,960', 'min. tenancy': 'Ask agent', 'let type': 'Long term', 'furnish type': 'Furnished', 'council tax': 'Ask agent'}</t>
        </is>
      </c>
      <c r="V189" t="b">
        <v>1</v>
      </c>
      <c r="X189" t="n">
        <v>12.94</v>
      </c>
      <c r="Y189" t="n">
        <v>39.3</v>
      </c>
      <c r="Z189">
        <f>IF(AND(ISNUMBER(B189), ISNUMBER(MIN(B$2:B$486)), ISNUMBER(MAX(B$2:B$486))), IF(MAX(B$2:B$486)=MIN(B$2:B$486), 50, ROUND((MAX(B$2:B$486)-B189)/(MAX(B$2:B$486)-MIN(B$2:B$486))*100, 2)), "")</f>
        <v/>
      </c>
      <c r="AA189">
        <f>IF(AND(ISNUMBER(X189), ISNUMBER(MIN(X$2:X$486)), ISNUMBER(MAX(X$2:X$486))), IF(MAX(X$2:X$486)=MIN(X$2:X$486), 50, ROUND((MAX(X$2:X$486)-X189)/(MAX(X$2:X$486)-MIN(X$2:X$486))*100, 2)), "")</f>
        <v/>
      </c>
      <c r="AB189">
        <f>IF(AND(ISNUMBER(U189), ISNUMBER(MIN(U$2:U$486)), ISNUMBER(MAX(U$2:U$486))), IF(MAX(U$2:U$486)=MIN(U$2:U$486), 50, ROUND((U189-MIN(U$2:U$486))/(MAX(U$2:U$486)-MIN(U$2:U$486))*100, 2)), "")</f>
        <v/>
      </c>
      <c r="AC189">
        <f>IF(AND(ISNUMBER(Z189), ISNUMBER(AA189), ISNUMBER(AB189)), ROUND((Z189+AA189+AB189)/3, 2), "")</f>
        <v/>
      </c>
    </row>
    <row r="190">
      <c r="A190" t="n">
        <v>166541996</v>
      </c>
      <c r="B190" t="n">
        <v>1750</v>
      </c>
      <c r="C190" t="inlineStr">
        <is>
          <t>£1,750 pcm</t>
        </is>
      </c>
      <c r="D190" t="inlineStr">
        <is>
          <t>monthly</t>
        </is>
      </c>
      <c r="E190" t="inlineStr">
        <is>
          <t>Flat</t>
        </is>
      </c>
      <c r="F190" t="n">
        <v>2</v>
      </c>
      <c r="G190" t="n">
        <v>1</v>
      </c>
      <c r="H190" t="inlineStr">
        <is>
          <t>Beresford Road, London, N8</t>
        </is>
      </c>
      <c r="I190" t="inlineStr">
        <is>
          <t xml:space="preserve">Varosi Estates are pleased to offer this first floor Two Double bedroom flat in sort after area in Harringay. </t>
        </is>
      </c>
      <c r="J190" t="inlineStr">
        <is>
          <t>https://www.rightmove.co.uk/properties/166541996#/?channel=RES_LET</t>
        </is>
      </c>
      <c r="K190" t="inlineStr">
        <is>
          <t>/property-to-rent/contactBranch.html?propertyId=166541996</t>
        </is>
      </c>
      <c r="L190" t="inlineStr">
        <is>
          <t>Varosi Lettings &amp; Estates, London</t>
        </is>
      </c>
      <c r="M190" t="n">
        <v>144152</v>
      </c>
      <c r="N190" t="inlineStr">
        <is>
          <t>Reduced on 09/10/2025</t>
        </is>
      </c>
      <c r="O190" t="inlineStr">
        <is>
          <t>2025-09-03T14:51:37Z</t>
        </is>
      </c>
      <c r="Q190" t="inlineStr">
        <is>
          <t>N8</t>
        </is>
      </c>
      <c r="R190" t="inlineStr">
        <is>
          <t>2025-10-16T17:42:21.609475</t>
        </is>
      </c>
      <c r="S190" t="inlineStr">
        <is>
          <t>{'let available date': 'Now', 'deposit': 'Ask agent', 'min. tenancy': '12 months', 'let type': 'Long term', 'furnish type': 'Furnished', 'council tax': 'Ask agent'}</t>
        </is>
      </c>
      <c r="V190" t="b">
        <v>1</v>
      </c>
      <c r="X190" t="n">
        <v>9.91</v>
      </c>
      <c r="Y190" t="n">
        <v>37</v>
      </c>
      <c r="Z190">
        <f>IF(AND(ISNUMBER(B190), ISNUMBER(MIN(B$2:B$486)), ISNUMBER(MAX(B$2:B$486))), IF(MAX(B$2:B$486)=MIN(B$2:B$486), 50, ROUND((MAX(B$2:B$486)-B190)/(MAX(B$2:B$486)-MIN(B$2:B$486))*100, 2)), "")</f>
        <v/>
      </c>
      <c r="AA190">
        <f>IF(AND(ISNUMBER(X190), ISNUMBER(MIN(X$2:X$486)), ISNUMBER(MAX(X$2:X$486))), IF(MAX(X$2:X$486)=MIN(X$2:X$486), 50, ROUND((MAX(X$2:X$486)-X190)/(MAX(X$2:X$486)-MIN(X$2:X$486))*100, 2)), "")</f>
        <v/>
      </c>
      <c r="AB190">
        <f>IF(AND(ISNUMBER(U190), ISNUMBER(MIN(U$2:U$486)), ISNUMBER(MAX(U$2:U$486))), IF(MAX(U$2:U$486)=MIN(U$2:U$486), 50, ROUND((U190-MIN(U$2:U$486))/(MAX(U$2:U$486)-MIN(U$2:U$486))*100, 2)), "")</f>
        <v/>
      </c>
      <c r="AC190">
        <f>IF(AND(ISNUMBER(Z190), ISNUMBER(AA190), ISNUMBER(AB190)), ROUND((Z190+AA190+AB190)/3, 2), "")</f>
        <v/>
      </c>
    </row>
    <row r="191">
      <c r="A191" t="n">
        <v>168047987</v>
      </c>
      <c r="B191" t="n">
        <v>1750</v>
      </c>
      <c r="C191" t="inlineStr">
        <is>
          <t>£1,750 pcm</t>
        </is>
      </c>
      <c r="D191" t="inlineStr">
        <is>
          <t>monthly</t>
        </is>
      </c>
      <c r="E191" t="inlineStr">
        <is>
          <t>Flat</t>
        </is>
      </c>
      <c r="F191" t="n">
        <v>2</v>
      </c>
      <c r="G191" t="n">
        <v>1</v>
      </c>
      <c r="H191" t="inlineStr">
        <is>
          <t>Marlowe Gardens, Eltham</t>
        </is>
      </c>
      <c r="I191" t="inlineStr">
        <is>
          <t>A top floor, two bedroom, purpose built flat in Marlowe Gardens. The flat is presented in excellent condition and offers a modern kitchen and bathroom, large living room, two double bedrooms, and has access to communal gardens.</t>
        </is>
      </c>
      <c r="J191" t="inlineStr">
        <is>
          <t>https://www.rightmove.co.uk/properties/168047987#/?channel=RES_LET</t>
        </is>
      </c>
      <c r="K191" t="inlineStr">
        <is>
          <t>/property-to-rent/contactBranch.html?propertyId=168047987</t>
        </is>
      </c>
      <c r="L191" t="inlineStr">
        <is>
          <t>Dexters, Lee</t>
        </is>
      </c>
      <c r="M191" t="n">
        <v>118048</v>
      </c>
      <c r="N191" t="inlineStr">
        <is>
          <t>Added on 09/10/2025</t>
        </is>
      </c>
      <c r="O191" t="inlineStr">
        <is>
          <t>2025-10-09T16:33:49Z</t>
        </is>
      </c>
      <c r="R191" t="inlineStr">
        <is>
          <t>2025-10-16T17:42:21.609483</t>
        </is>
      </c>
      <c r="S191" t="inlineStr">
        <is>
          <t>{'let available date': 'Ask agent', 'deposit': '£1,962', 'min. tenancy': 'Ask agent', 'let type': 'Long term', 'furnish type': 'Unfurnished', 'council tax': 'Ask agent'}</t>
        </is>
      </c>
      <c r="V191" t="b">
        <v>1</v>
      </c>
      <c r="X191" t="n">
        <v>21.46</v>
      </c>
      <c r="Y191" t="n">
        <v>51.4</v>
      </c>
      <c r="Z191">
        <f>IF(AND(ISNUMBER(B191), ISNUMBER(MIN(B$2:B$486)), ISNUMBER(MAX(B$2:B$486))), IF(MAX(B$2:B$486)=MIN(B$2:B$486), 50, ROUND((MAX(B$2:B$486)-B191)/(MAX(B$2:B$486)-MIN(B$2:B$486))*100, 2)), "")</f>
        <v/>
      </c>
      <c r="AA191">
        <f>IF(AND(ISNUMBER(X191), ISNUMBER(MIN(X$2:X$486)), ISNUMBER(MAX(X$2:X$486))), IF(MAX(X$2:X$486)=MIN(X$2:X$486), 50, ROUND((MAX(X$2:X$486)-X191)/(MAX(X$2:X$486)-MIN(X$2:X$486))*100, 2)), "")</f>
        <v/>
      </c>
      <c r="AB191">
        <f>IF(AND(ISNUMBER(U191), ISNUMBER(MIN(U$2:U$486)), ISNUMBER(MAX(U$2:U$486))), IF(MAX(U$2:U$486)=MIN(U$2:U$486), 50, ROUND((U191-MIN(U$2:U$486))/(MAX(U$2:U$486)-MIN(U$2:U$486))*100, 2)), "")</f>
        <v/>
      </c>
      <c r="AC191">
        <f>IF(AND(ISNUMBER(Z191), ISNUMBER(AA191), ISNUMBER(AB191)), ROUND((Z191+AA191+AB191)/3, 2), "")</f>
        <v/>
      </c>
    </row>
    <row r="192">
      <c r="A192" t="n">
        <v>167417879</v>
      </c>
      <c r="B192" t="n">
        <v>1750</v>
      </c>
      <c r="C192" t="inlineStr">
        <is>
          <t>£1,750 pcm</t>
        </is>
      </c>
      <c r="D192" t="inlineStr">
        <is>
          <t>monthly</t>
        </is>
      </c>
      <c r="E192" t="inlineStr">
        <is>
          <t>Apartment</t>
        </is>
      </c>
      <c r="F192" t="n">
        <v>2</v>
      </c>
      <c r="G192" t="n">
        <v>1</v>
      </c>
      <c r="H192" t="inlineStr">
        <is>
          <t>Frobisher Road, Harringay, N8</t>
        </is>
      </c>
      <c r="I192" t="inlineStr">
        <is>
          <t>2Bedroom Ground Floor Flat with Garden – 50 Frobisher Road, N8 Situated just off Green Lanes on a quiet residential street, this spacious 2-bedroom ground floor flat</t>
        </is>
      </c>
      <c r="J192" t="inlineStr">
        <is>
          <t>https://www.rightmove.co.uk/properties/167417879#/?channel=RES_LET</t>
        </is>
      </c>
      <c r="K192" t="inlineStr">
        <is>
          <t>/property-to-rent/contactBranch.html?propertyId=167417879</t>
        </is>
      </c>
      <c r="L192" t="inlineStr">
        <is>
          <t>Chris Anthony Estates, London</t>
        </is>
      </c>
      <c r="M192" t="n">
        <v>122383</v>
      </c>
      <c r="N192" t="inlineStr">
        <is>
          <t>Reduced on 09/10/2025</t>
        </is>
      </c>
      <c r="O192" t="inlineStr">
        <is>
          <t>2025-09-25T12:55:07Z</t>
        </is>
      </c>
      <c r="Q192" t="inlineStr">
        <is>
          <t>N8</t>
        </is>
      </c>
      <c r="R192" t="inlineStr">
        <is>
          <t>2025-10-16T17:42:21.609490</t>
        </is>
      </c>
      <c r="S192" t="inlineStr">
        <is>
          <t>{'let available date': 'Now', 'deposit': '£2,019', 'min. tenancy': 'Ask agent', 'let type': 'Long term', 'furnish type': 'Furnished or unfurnished, landlord is flexible', 'council tax': 'Ask agent'}</t>
        </is>
      </c>
      <c r="V192" t="b">
        <v>1</v>
      </c>
      <c r="X192" t="n">
        <v>9.91</v>
      </c>
      <c r="Y192" t="n">
        <v>37</v>
      </c>
      <c r="Z192">
        <f>IF(AND(ISNUMBER(B192), ISNUMBER(MIN(B$2:B$486)), ISNUMBER(MAX(B$2:B$486))), IF(MAX(B$2:B$486)=MIN(B$2:B$486), 50, ROUND((MAX(B$2:B$486)-B192)/(MAX(B$2:B$486)-MIN(B$2:B$486))*100, 2)), "")</f>
        <v/>
      </c>
      <c r="AA192">
        <f>IF(AND(ISNUMBER(X192), ISNUMBER(MIN(X$2:X$486)), ISNUMBER(MAX(X$2:X$486))), IF(MAX(X$2:X$486)=MIN(X$2:X$486), 50, ROUND((MAX(X$2:X$486)-X192)/(MAX(X$2:X$486)-MIN(X$2:X$486))*100, 2)), "")</f>
        <v/>
      </c>
      <c r="AB192">
        <f>IF(AND(ISNUMBER(U192), ISNUMBER(MIN(U$2:U$486)), ISNUMBER(MAX(U$2:U$486))), IF(MAX(U$2:U$486)=MIN(U$2:U$486), 50, ROUND((U192-MIN(U$2:U$486))/(MAX(U$2:U$486)-MIN(U$2:U$486))*100, 2)), "")</f>
        <v/>
      </c>
      <c r="AC192">
        <f>IF(AND(ISNUMBER(Z192), ISNUMBER(AA192), ISNUMBER(AB192)), ROUND((Z192+AA192+AB192)/3, 2), "")</f>
        <v/>
      </c>
    </row>
    <row r="193">
      <c r="A193" t="n">
        <v>165617993</v>
      </c>
      <c r="B193" t="n">
        <v>1750</v>
      </c>
      <c r="C193" t="inlineStr">
        <is>
          <t>£1,750 pcm</t>
        </is>
      </c>
      <c r="D193" t="inlineStr">
        <is>
          <t>monthly</t>
        </is>
      </c>
      <c r="E193" t="inlineStr">
        <is>
          <t>Flat</t>
        </is>
      </c>
      <c r="F193" t="n">
        <v>2</v>
      </c>
      <c r="G193" t="n">
        <v>1</v>
      </c>
      <c r="H193" t="inlineStr">
        <is>
          <t>Brook Court, Green Pond Road, Walthamstow E17</t>
        </is>
      </c>
      <c r="I193" t="inlineStr">
        <is>
          <t>** Zero Deposit Guarantee Available **
A newly redecorated two bedroom ground floor flat with a stunning communal garden and within walking distance to public transport. Available now on an unfurnished basis.</t>
        </is>
      </c>
      <c r="J193" t="inlineStr">
        <is>
          <t>https://www.rightmove.co.uk/properties/165617993#/?channel=RES_LET</t>
        </is>
      </c>
      <c r="K193" t="inlineStr">
        <is>
          <t>/property-to-rent/contactBranch.html?propertyId=165617993</t>
        </is>
      </c>
      <c r="L193" t="inlineStr">
        <is>
          <t>Bairstow Eves Lettings, Walthamstow</t>
        </is>
      </c>
      <c r="M193" t="n">
        <v>30467</v>
      </c>
      <c r="N193" t="inlineStr">
        <is>
          <t>Reduced on 09/10/2025</t>
        </is>
      </c>
      <c r="O193" t="inlineStr">
        <is>
          <t>2025-08-11T16:21:54Z</t>
        </is>
      </c>
      <c r="Q193" t="inlineStr">
        <is>
          <t>E17</t>
        </is>
      </c>
      <c r="R193" t="inlineStr">
        <is>
          <t>2025-10-16T17:42:21.609496</t>
        </is>
      </c>
      <c r="S193" t="inlineStr">
        <is>
          <t>{'let available date': 'Now', 'deposit': '£2,019', 'min. tenancy': 'Ask agent', 'let type': 'Long term', 'furnish type': 'Unfurnished', 'council tax': 'Ask agent'}</t>
        </is>
      </c>
      <c r="V193" t="b">
        <v>1</v>
      </c>
      <c r="X193" t="n">
        <v>14.24</v>
      </c>
      <c r="Y193" t="n">
        <v>55.8</v>
      </c>
      <c r="Z193">
        <f>IF(AND(ISNUMBER(B193), ISNUMBER(MIN(B$2:B$486)), ISNUMBER(MAX(B$2:B$486))), IF(MAX(B$2:B$486)=MIN(B$2:B$486), 50, ROUND((MAX(B$2:B$486)-B193)/(MAX(B$2:B$486)-MIN(B$2:B$486))*100, 2)), "")</f>
        <v/>
      </c>
      <c r="AA193">
        <f>IF(AND(ISNUMBER(X193), ISNUMBER(MIN(X$2:X$486)), ISNUMBER(MAX(X$2:X$486))), IF(MAX(X$2:X$486)=MIN(X$2:X$486), 50, ROUND((MAX(X$2:X$486)-X193)/(MAX(X$2:X$486)-MIN(X$2:X$486))*100, 2)), "")</f>
        <v/>
      </c>
      <c r="AB193">
        <f>IF(AND(ISNUMBER(U193), ISNUMBER(MIN(U$2:U$486)), ISNUMBER(MAX(U$2:U$486))), IF(MAX(U$2:U$486)=MIN(U$2:U$486), 50, ROUND((U193-MIN(U$2:U$486))/(MAX(U$2:U$486)-MIN(U$2:U$486))*100, 2)), "")</f>
        <v/>
      </c>
      <c r="AC193">
        <f>IF(AND(ISNUMBER(Z193), ISNUMBER(AA193), ISNUMBER(AB193)), ROUND((Z193+AA193+AB193)/3, 2), "")</f>
        <v/>
      </c>
    </row>
    <row r="194">
      <c r="A194" t="n">
        <v>165961793</v>
      </c>
      <c r="B194" t="n">
        <v>1750</v>
      </c>
      <c r="C194" t="inlineStr">
        <is>
          <t>£1,750 pcm</t>
        </is>
      </c>
      <c r="D194" t="inlineStr">
        <is>
          <t>monthly</t>
        </is>
      </c>
      <c r="E194" t="inlineStr">
        <is>
          <t>Apartment</t>
        </is>
      </c>
      <c r="F194" t="n">
        <v>2</v>
      </c>
      <c r="G194" t="n">
        <v>1</v>
      </c>
      <c r="H194" t="inlineStr">
        <is>
          <t>Frobisher Road, Turnpike Lane, London</t>
        </is>
      </c>
      <c r="I194" t="inlineStr">
        <is>
          <t>Stunning two bedroom ground floor flat to rent. The property is decorated to a good standard, wood floors, a bright reception with loads of character, separate kitchen leading to a private garden and a separate bathroom. The property is located on a one way road, a short walk to Turnpike Lane sta...</t>
        </is>
      </c>
      <c r="J194" t="inlineStr">
        <is>
          <t>https://www.rightmove.co.uk/properties/165961793#/?channel=RES_LET</t>
        </is>
      </c>
      <c r="K194" t="inlineStr">
        <is>
          <t>/property-to-rent/contactBranch.html?propertyId=165961793</t>
        </is>
      </c>
      <c r="L194" t="inlineStr">
        <is>
          <t>David Astburys Ltd, Crouch End</t>
        </is>
      </c>
      <c r="M194" t="n">
        <v>176261</v>
      </c>
      <c r="N194" t="inlineStr">
        <is>
          <t>Reduced on 09/10/2025</t>
        </is>
      </c>
      <c r="O194" t="inlineStr">
        <is>
          <t>2025-08-19T16:14:31Z</t>
        </is>
      </c>
      <c r="R194" t="inlineStr">
        <is>
          <t>2025-10-16T17:42:21.609505</t>
        </is>
      </c>
      <c r="S194" t="inlineStr">
        <is>
          <t>{'let available date': 'Now', 'deposit': '£2,308', 'min. tenancy': 'Ask agent', 'let type': 'Long term', 'furnish type': 'Furnished or unfurnished, landlord is flexible', 'council tax': 'Ask agent'}</t>
        </is>
      </c>
      <c r="V194" t="b">
        <v>1</v>
      </c>
      <c r="X194" t="n">
        <v>11.22</v>
      </c>
      <c r="Y194" t="n">
        <v>41</v>
      </c>
      <c r="Z194">
        <f>IF(AND(ISNUMBER(B194), ISNUMBER(MIN(B$2:B$486)), ISNUMBER(MAX(B$2:B$486))), IF(MAX(B$2:B$486)=MIN(B$2:B$486), 50, ROUND((MAX(B$2:B$486)-B194)/(MAX(B$2:B$486)-MIN(B$2:B$486))*100, 2)), "")</f>
        <v/>
      </c>
      <c r="AA194">
        <f>IF(AND(ISNUMBER(X194), ISNUMBER(MIN(X$2:X$486)), ISNUMBER(MAX(X$2:X$486))), IF(MAX(X$2:X$486)=MIN(X$2:X$486), 50, ROUND((MAX(X$2:X$486)-X194)/(MAX(X$2:X$486)-MIN(X$2:X$486))*100, 2)), "")</f>
        <v/>
      </c>
      <c r="AB194">
        <f>IF(AND(ISNUMBER(U194), ISNUMBER(MIN(U$2:U$486)), ISNUMBER(MAX(U$2:U$486))), IF(MAX(U$2:U$486)=MIN(U$2:U$486), 50, ROUND((U194-MIN(U$2:U$486))/(MAX(U$2:U$486)-MIN(U$2:U$486))*100, 2)), "")</f>
        <v/>
      </c>
      <c r="AC194">
        <f>IF(AND(ISNUMBER(Z194), ISNUMBER(AA194), ISNUMBER(AB194)), ROUND((Z194+AA194+AB194)/3, 2), "")</f>
        <v/>
      </c>
    </row>
    <row r="195">
      <c r="A195" t="n">
        <v>168039761</v>
      </c>
      <c r="B195" t="n">
        <v>1600</v>
      </c>
      <c r="C195" t="inlineStr">
        <is>
          <t>£1,600 pcm</t>
        </is>
      </c>
      <c r="D195" t="inlineStr">
        <is>
          <t>monthly</t>
        </is>
      </c>
      <c r="E195" t="inlineStr">
        <is>
          <t>Flat</t>
        </is>
      </c>
      <c r="F195" t="n">
        <v>2</v>
      </c>
      <c r="G195" t="n">
        <v>1</v>
      </c>
      <c r="H195" t="inlineStr">
        <is>
          <t>Howard House, Howard Road, Penge, SE20</t>
        </is>
      </c>
      <c r="I195" t="inlineStr">
        <is>
          <t>Welcome to Howard House in the charming area of Penge, SE20. This delightful top floor flat boasts a spacious open plan kitchen and living area, perfect for entertaining guests or relaxing after a long day. With two double bedrooms, this property offers ample space for a small family, a couple, o...</t>
        </is>
      </c>
      <c r="J195" t="inlineStr">
        <is>
          <t>https://www.rightmove.co.uk/properties/168039761#/?channel=RES_LET</t>
        </is>
      </c>
      <c r="K195" t="inlineStr">
        <is>
          <t>/property-to-rent/contactBranch.html?propertyId=168039761</t>
        </is>
      </c>
      <c r="L195" t="inlineStr">
        <is>
          <t>Galloways, Penge</t>
        </is>
      </c>
      <c r="M195" t="n">
        <v>151376</v>
      </c>
      <c r="N195" t="inlineStr">
        <is>
          <t>Added on 09/10/2025</t>
        </is>
      </c>
      <c r="O195" t="inlineStr">
        <is>
          <t>2025-10-09T14:39:50Z</t>
        </is>
      </c>
      <c r="Q195" t="inlineStr">
        <is>
          <t>SE20</t>
        </is>
      </c>
      <c r="R195" t="inlineStr">
        <is>
          <t>2025-10-16T17:42:21.609514</t>
        </is>
      </c>
      <c r="S195" t="inlineStr">
        <is>
          <t>{'let available date': '29/11/2025', 'deposit': '£1,846', 'min. tenancy': 'Ask agent', 'let type': 'Long term', 'furnish type': 'Unfurnished', 'council tax': 'Ask agent'}</t>
        </is>
      </c>
      <c r="T195" t="n">
        <v>656</v>
      </c>
      <c r="U195" t="n">
        <v>61</v>
      </c>
      <c r="V195" t="b">
        <v>1</v>
      </c>
      <c r="X195" t="n">
        <v>15.17</v>
      </c>
      <c r="Y195" t="n">
        <v>49.5</v>
      </c>
      <c r="Z195">
        <f>IF(AND(ISNUMBER(B195), ISNUMBER(MIN(B$2:B$486)), ISNUMBER(MAX(B$2:B$486))), IF(MAX(B$2:B$486)=MIN(B$2:B$486), 50, ROUND((MAX(B$2:B$486)-B195)/(MAX(B$2:B$486)-MIN(B$2:B$486))*100, 2)), "")</f>
        <v/>
      </c>
      <c r="AA195">
        <f>IF(AND(ISNUMBER(X195), ISNUMBER(MIN(X$2:X$486)), ISNUMBER(MAX(X$2:X$486))), IF(MAX(X$2:X$486)=MIN(X$2:X$486), 50, ROUND((MAX(X$2:X$486)-X195)/(MAX(X$2:X$486)-MIN(X$2:X$486))*100, 2)), "")</f>
        <v/>
      </c>
      <c r="AB195">
        <f>IF(AND(ISNUMBER(U195), ISNUMBER(MIN(U$2:U$486)), ISNUMBER(MAX(U$2:U$486))), IF(MAX(U$2:U$486)=MIN(U$2:U$486), 50, ROUND((U195-MIN(U$2:U$486))/(MAX(U$2:U$486)-MIN(U$2:U$486))*100, 2)), "")</f>
        <v/>
      </c>
      <c r="AC195">
        <f>IF(AND(ISNUMBER(Z195), ISNUMBER(AA195), ISNUMBER(AB195)), ROUND((Z195+AA195+AB195)/3, 2), "")</f>
        <v/>
      </c>
    </row>
    <row r="196">
      <c r="A196" t="n">
        <v>167240090</v>
      </c>
      <c r="B196" t="n">
        <v>403</v>
      </c>
      <c r="C196" t="inlineStr">
        <is>
          <t>£1,746 pcm</t>
        </is>
      </c>
      <c r="D196" t="inlineStr">
        <is>
          <t>weekly</t>
        </is>
      </c>
      <c r="E196" t="inlineStr">
        <is>
          <t>Flat</t>
        </is>
      </c>
      <c r="F196" t="n">
        <v>2</v>
      </c>
      <c r="G196" t="n">
        <v>2</v>
      </c>
      <c r="H196" t="inlineStr">
        <is>
          <t>Edith Road, Croydon, London</t>
        </is>
      </c>
      <c r="I196" t="inlineStr">
        <is>
          <t>A beautifully refurbished two-bedroom maisonette arranged of 2 floors of stylish living space, perfectly positioned next to Selhurst station . The property features two spacious double bedrooms, two well-appointed bathrooms, with the master bedroom benefiting from an en-suite bathroom. Both ba...</t>
        </is>
      </c>
      <c r="J196" t="inlineStr">
        <is>
          <t>https://www.rightmove.co.uk/properties/167240090#/?channel=RES_LET</t>
        </is>
      </c>
      <c r="K196" t="inlineStr">
        <is>
          <t>/property-to-rent/contactBranch.html?propertyId=167240090</t>
        </is>
      </c>
      <c r="L196" t="inlineStr">
        <is>
          <t>Global House Estates, London</t>
        </is>
      </c>
      <c r="M196" t="n">
        <v>74713</v>
      </c>
      <c r="N196" t="inlineStr">
        <is>
          <t>Reduced on 29/09/2025</t>
        </is>
      </c>
      <c r="O196" t="inlineStr">
        <is>
          <t>2025-09-21T18:58:44Z</t>
        </is>
      </c>
      <c r="R196" t="inlineStr">
        <is>
          <t>2025-10-16T17:42:23.093670</t>
        </is>
      </c>
      <c r="S196" t="inlineStr">
        <is>
          <t>{'let available date': '18/10/2025', 'deposit': 'Ask agent', 'min. tenancy': 'Ask agent', 'let type': 'Long term', 'furnish type': 'Unfurnished', 'council tax': 'Ask agent'}</t>
        </is>
      </c>
      <c r="V196" t="b">
        <v>1</v>
      </c>
      <c r="X196" t="n">
        <v>17.05</v>
      </c>
      <c r="Y196" t="n">
        <v>53.7</v>
      </c>
      <c r="Z196">
        <f>IF(AND(ISNUMBER(B196), ISNUMBER(MIN(B$2:B$486)), ISNUMBER(MAX(B$2:B$486))), IF(MAX(B$2:B$486)=MIN(B$2:B$486), 50, ROUND((MAX(B$2:B$486)-B196)/(MAX(B$2:B$486)-MIN(B$2:B$486))*100, 2)), "")</f>
        <v/>
      </c>
      <c r="AA196">
        <f>IF(AND(ISNUMBER(X196), ISNUMBER(MIN(X$2:X$486)), ISNUMBER(MAX(X$2:X$486))), IF(MAX(X$2:X$486)=MIN(X$2:X$486), 50, ROUND((MAX(X$2:X$486)-X196)/(MAX(X$2:X$486)-MIN(X$2:X$486))*100, 2)), "")</f>
        <v/>
      </c>
      <c r="AB196">
        <f>IF(AND(ISNUMBER(U196), ISNUMBER(MIN(U$2:U$486)), ISNUMBER(MAX(U$2:U$486))), IF(MAX(U$2:U$486)=MIN(U$2:U$486), 50, ROUND((U196-MIN(U$2:U$486))/(MAX(U$2:U$486)-MIN(U$2:U$486))*100, 2)), "")</f>
        <v/>
      </c>
      <c r="AC196">
        <f>IF(AND(ISNUMBER(Z196), ISNUMBER(AA196), ISNUMBER(AB196)), ROUND((Z196+AA196+AB196)/3, 2), "")</f>
        <v/>
      </c>
    </row>
    <row r="197">
      <c r="A197" t="n">
        <v>168035600</v>
      </c>
      <c r="B197" t="n">
        <v>1600</v>
      </c>
      <c r="C197" t="inlineStr">
        <is>
          <t>£1,600 pcm</t>
        </is>
      </c>
      <c r="D197" t="inlineStr">
        <is>
          <t>monthly</t>
        </is>
      </c>
      <c r="E197" t="inlineStr">
        <is>
          <t>Flat</t>
        </is>
      </c>
      <c r="F197" t="n">
        <v>2</v>
      </c>
      <c r="H197" t="inlineStr">
        <is>
          <t>Charlton Court, High Street South, London, E6</t>
        </is>
      </c>
      <c r="I197" t="inlineStr">
        <is>
          <t>We are delighted to present this attractive two-bedroom property, soon to become available in the desirable area on the borders of East Ham and Beckton, E6</t>
        </is>
      </c>
      <c r="J197" t="inlineStr">
        <is>
          <t>https://www.rightmove.co.uk/properties/168035600#/?channel=RES_LET</t>
        </is>
      </c>
      <c r="K197" t="inlineStr">
        <is>
          <t>/property-to-rent/contactBranch.html?propertyId=168035600</t>
        </is>
      </c>
      <c r="L197" t="inlineStr">
        <is>
          <t>Inner City Estates, Bow</t>
        </is>
      </c>
      <c r="M197" t="n">
        <v>103850</v>
      </c>
      <c r="N197" t="inlineStr">
        <is>
          <t>Added on 09/10/2025</t>
        </is>
      </c>
      <c r="O197" t="inlineStr">
        <is>
          <t>2025-10-09T13:37:38Z</t>
        </is>
      </c>
      <c r="Q197" t="inlineStr">
        <is>
          <t>E6</t>
        </is>
      </c>
      <c r="R197" t="inlineStr">
        <is>
          <t>2025-10-16T17:42:23.093693</t>
        </is>
      </c>
      <c r="S197" t="inlineStr">
        <is>
          <t>{'let available date': 'Ask agent', 'deposit': '£1,846', 'min. tenancy': 'Ask agent', 'let type': 'Long term', 'furnish type': 'Ask agent', 'council tax': 'Ask agent'}</t>
        </is>
      </c>
      <c r="V197" t="b">
        <v>1</v>
      </c>
      <c r="X197" t="n">
        <v>16.03</v>
      </c>
      <c r="Y197" t="n">
        <v>42.6</v>
      </c>
      <c r="Z197">
        <f>IF(AND(ISNUMBER(B197), ISNUMBER(MIN(B$2:B$486)), ISNUMBER(MAX(B$2:B$486))), IF(MAX(B$2:B$486)=MIN(B$2:B$486), 50, ROUND((MAX(B$2:B$486)-B197)/(MAX(B$2:B$486)-MIN(B$2:B$486))*100, 2)), "")</f>
        <v/>
      </c>
      <c r="AA197">
        <f>IF(AND(ISNUMBER(X197), ISNUMBER(MIN(X$2:X$486)), ISNUMBER(MAX(X$2:X$486))), IF(MAX(X$2:X$486)=MIN(X$2:X$486), 50, ROUND((MAX(X$2:X$486)-X197)/(MAX(X$2:X$486)-MIN(X$2:X$486))*100, 2)), "")</f>
        <v/>
      </c>
      <c r="AB197">
        <f>IF(AND(ISNUMBER(U197), ISNUMBER(MIN(U$2:U$486)), ISNUMBER(MAX(U$2:U$486))), IF(MAX(U$2:U$486)=MIN(U$2:U$486), 50, ROUND((U197-MIN(U$2:U$486))/(MAX(U$2:U$486)-MIN(U$2:U$486))*100, 2)), "")</f>
        <v/>
      </c>
      <c r="AC197">
        <f>IF(AND(ISNUMBER(Z197), ISNUMBER(AA197), ISNUMBER(AB197)), ROUND((Z197+AA197+AB197)/3, 2), "")</f>
        <v/>
      </c>
    </row>
    <row r="198">
      <c r="A198" t="n">
        <v>168035252</v>
      </c>
      <c r="B198" t="n">
        <v>1700</v>
      </c>
      <c r="C198" t="inlineStr">
        <is>
          <t>£1,700 pcm</t>
        </is>
      </c>
      <c r="D198" t="inlineStr">
        <is>
          <t>monthly</t>
        </is>
      </c>
      <c r="E198" t="inlineStr">
        <is>
          <t>Flat</t>
        </is>
      </c>
      <c r="F198" t="n">
        <v>2</v>
      </c>
      <c r="G198" t="n">
        <v>1</v>
      </c>
      <c r="H198" t="inlineStr">
        <is>
          <t>Buckingham Court, Watford Way, Hendon, NW4</t>
        </is>
      </c>
      <c r="I198" t="inlineStr">
        <is>
          <t>Newly repainted and carpeted two double bedroom apartment on the first floor of this Purpose Built Block offering a large separate reception room, modern eat-in kitchen, family bathroom and is conveniently situated for transport links, Sunny Hill Park, Middlesex University and Hendon Central Unde...</t>
        </is>
      </c>
      <c r="J198" t="inlineStr">
        <is>
          <t>https://www.rightmove.co.uk/properties/168035252#/?channel=RES_LET</t>
        </is>
      </c>
      <c r="K198" t="inlineStr">
        <is>
          <t>/property-to-rent/contactBranch.html?propertyId=168035252</t>
        </is>
      </c>
      <c r="L198" t="inlineStr">
        <is>
          <t>Roundtree Real Estate, London</t>
        </is>
      </c>
      <c r="M198" t="n">
        <v>46965</v>
      </c>
      <c r="N198" t="inlineStr">
        <is>
          <t>Added on 09/10/2025</t>
        </is>
      </c>
      <c r="O198" t="inlineStr">
        <is>
          <t>2025-10-09T13:33:20Z</t>
        </is>
      </c>
      <c r="Q198" t="inlineStr">
        <is>
          <t>NW4</t>
        </is>
      </c>
      <c r="R198" t="inlineStr">
        <is>
          <t>2025-10-16T17:42:23.093699</t>
        </is>
      </c>
      <c r="S198" t="inlineStr">
        <is>
          <t>{'let available date': 'Now', 'deposit': '£1,962', 'min. tenancy': 'Ask agent', 'let type': 'Long term', 'furnish type': 'Unfurnished', 'council tax': 'Ask agent'}</t>
        </is>
      </c>
      <c r="V198" t="b">
        <v>1</v>
      </c>
      <c r="X198" t="n">
        <v>14.2</v>
      </c>
      <c r="Y198" t="n">
        <v>43.7</v>
      </c>
      <c r="Z198">
        <f>IF(AND(ISNUMBER(B198), ISNUMBER(MIN(B$2:B$486)), ISNUMBER(MAX(B$2:B$486))), IF(MAX(B$2:B$486)=MIN(B$2:B$486), 50, ROUND((MAX(B$2:B$486)-B198)/(MAX(B$2:B$486)-MIN(B$2:B$486))*100, 2)), "")</f>
        <v/>
      </c>
      <c r="AA198">
        <f>IF(AND(ISNUMBER(X198), ISNUMBER(MIN(X$2:X$486)), ISNUMBER(MAX(X$2:X$486))), IF(MAX(X$2:X$486)=MIN(X$2:X$486), 50, ROUND((MAX(X$2:X$486)-X198)/(MAX(X$2:X$486)-MIN(X$2:X$486))*100, 2)), "")</f>
        <v/>
      </c>
      <c r="AB198">
        <f>IF(AND(ISNUMBER(U198), ISNUMBER(MIN(U$2:U$486)), ISNUMBER(MAX(U$2:U$486))), IF(MAX(U$2:U$486)=MIN(U$2:U$486), 50, ROUND((U198-MIN(U$2:U$486))/(MAX(U$2:U$486)-MIN(U$2:U$486))*100, 2)), "")</f>
        <v/>
      </c>
      <c r="AC198">
        <f>IF(AND(ISNUMBER(Z198), ISNUMBER(AA198), ISNUMBER(AB198)), ROUND((Z198+AA198+AB198)/3, 2), "")</f>
        <v/>
      </c>
    </row>
    <row r="199">
      <c r="A199" t="n">
        <v>167984924</v>
      </c>
      <c r="B199" t="n">
        <v>1200</v>
      </c>
      <c r="C199" t="inlineStr">
        <is>
          <t>£1,200 pcm</t>
        </is>
      </c>
      <c r="D199" t="inlineStr">
        <is>
          <t>monthly</t>
        </is>
      </c>
      <c r="E199" t="inlineStr">
        <is>
          <t>Flat</t>
        </is>
      </c>
      <c r="F199" t="n">
        <v>2</v>
      </c>
      <c r="H199" t="inlineStr">
        <is>
          <t>Hundred Acre, London, NW9</t>
        </is>
      </c>
      <c r="I199" t="inlineStr">
        <is>
          <t>Two Bed Flat, Colindale, £1,200 PCM</t>
        </is>
      </c>
      <c r="J199" t="inlineStr">
        <is>
          <t>https://www.rightmove.co.uk/properties/167984924#/?channel=RES_LET</t>
        </is>
      </c>
      <c r="K199" t="inlineStr">
        <is>
          <t>/property-to-rent/contactBranch.html?propertyId=167984924</t>
        </is>
      </c>
      <c r="L199" t="inlineStr">
        <is>
          <t>Ad Hoc Property Management Ltd, London</t>
        </is>
      </c>
      <c r="M199" t="n">
        <v>103628</v>
      </c>
      <c r="N199" t="inlineStr">
        <is>
          <t>Reduced on 09/10/2025</t>
        </is>
      </c>
      <c r="O199" t="inlineStr">
        <is>
          <t>2025-10-08T13:43:47Z</t>
        </is>
      </c>
      <c r="Q199" t="inlineStr">
        <is>
          <t>NW9</t>
        </is>
      </c>
      <c r="R199" t="inlineStr">
        <is>
          <t>2025-10-16T17:42:23.093703</t>
        </is>
      </c>
      <c r="S199" t="inlineStr">
        <is>
          <t>{'let available date': 'Now', 'deposit': '£1,385', 'min. tenancy': '1 month', 'let type': 'Short term', 'furnish type': 'Unfurnished', 'council tax': 'Ask agent'}</t>
        </is>
      </c>
      <c r="V199" t="b">
        <v>1</v>
      </c>
      <c r="X199" t="n">
        <v>15.5</v>
      </c>
      <c r="Y199" t="n">
        <v>45.8</v>
      </c>
      <c r="Z199">
        <f>IF(AND(ISNUMBER(B199), ISNUMBER(MIN(B$2:B$486)), ISNUMBER(MAX(B$2:B$486))), IF(MAX(B$2:B$486)=MIN(B$2:B$486), 50, ROUND((MAX(B$2:B$486)-B199)/(MAX(B$2:B$486)-MIN(B$2:B$486))*100, 2)), "")</f>
        <v/>
      </c>
      <c r="AA199">
        <f>IF(AND(ISNUMBER(X199), ISNUMBER(MIN(X$2:X$486)), ISNUMBER(MAX(X$2:X$486))), IF(MAX(X$2:X$486)=MIN(X$2:X$486), 50, ROUND((MAX(X$2:X$486)-X199)/(MAX(X$2:X$486)-MIN(X$2:X$486))*100, 2)), "")</f>
        <v/>
      </c>
      <c r="AB199">
        <f>IF(AND(ISNUMBER(U199), ISNUMBER(MIN(U$2:U$486)), ISNUMBER(MAX(U$2:U$486))), IF(MAX(U$2:U$486)=MIN(U$2:U$486), 50, ROUND((U199-MIN(U$2:U$486))/(MAX(U$2:U$486)-MIN(U$2:U$486))*100, 2)), "")</f>
        <v/>
      </c>
      <c r="AC199">
        <f>IF(AND(ISNUMBER(Z199), ISNUMBER(AA199), ISNUMBER(AB199)), ROUND((Z199+AA199+AB199)/3, 2), "")</f>
        <v/>
      </c>
    </row>
    <row r="200">
      <c r="A200" t="n">
        <v>168034511</v>
      </c>
      <c r="B200" t="n">
        <v>1200</v>
      </c>
      <c r="C200" t="inlineStr">
        <is>
          <t>£1,200 pcm</t>
        </is>
      </c>
      <c r="D200" t="inlineStr">
        <is>
          <t>monthly</t>
        </is>
      </c>
      <c r="E200" t="inlineStr">
        <is>
          <t>Flat</t>
        </is>
      </c>
      <c r="F200" t="n">
        <v>2</v>
      </c>
      <c r="H200" t="inlineStr">
        <is>
          <t>Dunn Mead, London, NW9</t>
        </is>
      </c>
      <c r="I200" t="inlineStr">
        <is>
          <t>Two Bed Flat, Colindale, £1,200 PCM</t>
        </is>
      </c>
      <c r="J200" t="inlineStr">
        <is>
          <t>https://www.rightmove.co.uk/properties/168034511#/?channel=RES_LET</t>
        </is>
      </c>
      <c r="K200" t="inlineStr">
        <is>
          <t>/property-to-rent/contactBranch.html?propertyId=168034511</t>
        </is>
      </c>
      <c r="L200" t="inlineStr">
        <is>
          <t>Ad Hoc Property Management Ltd, London</t>
        </is>
      </c>
      <c r="M200" t="n">
        <v>103628</v>
      </c>
      <c r="N200" t="inlineStr">
        <is>
          <t>Added on 09/10/2025</t>
        </is>
      </c>
      <c r="O200" t="inlineStr">
        <is>
          <t>2025-10-09T13:24:21Z</t>
        </is>
      </c>
      <c r="Q200" t="inlineStr">
        <is>
          <t>NW9</t>
        </is>
      </c>
      <c r="R200" t="inlineStr">
        <is>
          <t>2025-10-16T17:42:23.093707</t>
        </is>
      </c>
      <c r="S200" t="inlineStr">
        <is>
          <t>{'let available date': 'Now', 'deposit': '£1,385', 'min. tenancy': '1 month', 'let type': 'Short term', 'furnish type': 'Unfurnished', 'council tax': 'Ask agent'}</t>
        </is>
      </c>
      <c r="V200" t="b">
        <v>1</v>
      </c>
      <c r="X200" t="n">
        <v>15.5</v>
      </c>
      <c r="Y200" t="n">
        <v>45.7</v>
      </c>
      <c r="Z200">
        <f>IF(AND(ISNUMBER(B200), ISNUMBER(MIN(B$2:B$486)), ISNUMBER(MAX(B$2:B$486))), IF(MAX(B$2:B$486)=MIN(B$2:B$486), 50, ROUND((MAX(B$2:B$486)-B200)/(MAX(B$2:B$486)-MIN(B$2:B$486))*100, 2)), "")</f>
        <v/>
      </c>
      <c r="AA200">
        <f>IF(AND(ISNUMBER(X200), ISNUMBER(MIN(X$2:X$486)), ISNUMBER(MAX(X$2:X$486))), IF(MAX(X$2:X$486)=MIN(X$2:X$486), 50, ROUND((MAX(X$2:X$486)-X200)/(MAX(X$2:X$486)-MIN(X$2:X$486))*100, 2)), "")</f>
        <v/>
      </c>
      <c r="AB200">
        <f>IF(AND(ISNUMBER(U200), ISNUMBER(MIN(U$2:U$486)), ISNUMBER(MAX(U$2:U$486))), IF(MAX(U$2:U$486)=MIN(U$2:U$486), 50, ROUND((U200-MIN(U$2:U$486))/(MAX(U$2:U$486)-MIN(U$2:U$486))*100, 2)), "")</f>
        <v/>
      </c>
      <c r="AC200">
        <f>IF(AND(ISNUMBER(Z200), ISNUMBER(AA200), ISNUMBER(AB200)), ROUND((Z200+AA200+AB200)/3, 2), "")</f>
        <v/>
      </c>
    </row>
    <row r="201">
      <c r="A201" t="n">
        <v>168034328</v>
      </c>
      <c r="B201" t="n">
        <v>1600</v>
      </c>
      <c r="C201" t="inlineStr">
        <is>
          <t>£1,600 pcm</t>
        </is>
      </c>
      <c r="D201" t="inlineStr">
        <is>
          <t>monthly</t>
        </is>
      </c>
      <c r="E201" t="inlineStr">
        <is>
          <t>Ground Flat</t>
        </is>
      </c>
      <c r="F201" t="n">
        <v>2</v>
      </c>
      <c r="G201" t="n">
        <v>1</v>
      </c>
      <c r="H201" t="inlineStr">
        <is>
          <t>Collingwood Road, Sutton</t>
        </is>
      </c>
      <c r="I201" t="inlineStr">
        <is>
          <t>Spacious, two double bedroom ground floor flat with large open plan lounge/kitchen and own patio garden, large shower room. Conveniently situated close to Sutton town centre and West Sutton train station. Available to let unfurnished/part furnished. Council Tax Band B, EPC Grade C. Viewings stric...</t>
        </is>
      </c>
      <c r="J201" t="inlineStr">
        <is>
          <t>https://www.rightmove.co.uk/properties/168034328#/?channel=RES_LET</t>
        </is>
      </c>
      <c r="K201" t="inlineStr">
        <is>
          <t>/property-to-rent/contactBranch.html?propertyId=168034328</t>
        </is>
      </c>
      <c r="L201" t="inlineStr">
        <is>
          <t>HES Residential, Sutton</t>
        </is>
      </c>
      <c r="M201" t="n">
        <v>16373</v>
      </c>
      <c r="N201" t="inlineStr">
        <is>
          <t>Added on 09/10/2025</t>
        </is>
      </c>
      <c r="O201" t="inlineStr">
        <is>
          <t>2025-10-09T13:22:41Z</t>
        </is>
      </c>
      <c r="R201" t="inlineStr">
        <is>
          <t>2025-10-16T17:42:23.093710</t>
        </is>
      </c>
      <c r="S201" t="inlineStr">
        <is>
          <t>{'let available date': 'Now', 'deposit': 'Ask agent', 'min. tenancy': 'Ask agent', 'let type': 'Long term', 'furnish type': 'Unfurnished', 'council tax': 'Ask agent'}</t>
        </is>
      </c>
      <c r="V201" t="b">
        <v>1</v>
      </c>
      <c r="X201" t="n">
        <v>20.7</v>
      </c>
      <c r="Y201" t="n">
        <v>62.5</v>
      </c>
      <c r="Z201">
        <f>IF(AND(ISNUMBER(B201), ISNUMBER(MIN(B$2:B$486)), ISNUMBER(MAX(B$2:B$486))), IF(MAX(B$2:B$486)=MIN(B$2:B$486), 50, ROUND((MAX(B$2:B$486)-B201)/(MAX(B$2:B$486)-MIN(B$2:B$486))*100, 2)), "")</f>
        <v/>
      </c>
      <c r="AA201">
        <f>IF(AND(ISNUMBER(X201), ISNUMBER(MIN(X$2:X$486)), ISNUMBER(MAX(X$2:X$486))), IF(MAX(X$2:X$486)=MIN(X$2:X$486), 50, ROUND((MAX(X$2:X$486)-X201)/(MAX(X$2:X$486)-MIN(X$2:X$486))*100, 2)), "")</f>
        <v/>
      </c>
      <c r="AB201">
        <f>IF(AND(ISNUMBER(U201), ISNUMBER(MIN(U$2:U$486)), ISNUMBER(MAX(U$2:U$486))), IF(MAX(U$2:U$486)=MIN(U$2:U$486), 50, ROUND((U201-MIN(U$2:U$486))/(MAX(U$2:U$486)-MIN(U$2:U$486))*100, 2)), "")</f>
        <v/>
      </c>
      <c r="AC201">
        <f>IF(AND(ISNUMBER(Z201), ISNUMBER(AA201), ISNUMBER(AB201)), ROUND((Z201+AA201+AB201)/3, 2), "")</f>
        <v/>
      </c>
    </row>
    <row r="202">
      <c r="A202" t="n">
        <v>168033779</v>
      </c>
      <c r="B202" t="n">
        <v>1695</v>
      </c>
      <c r="C202" t="inlineStr">
        <is>
          <t>£1,695 pcm</t>
        </is>
      </c>
      <c r="D202" t="inlineStr">
        <is>
          <t>monthly</t>
        </is>
      </c>
      <c r="E202" t="inlineStr">
        <is>
          <t>Flat</t>
        </is>
      </c>
      <c r="F202" t="n">
        <v>2</v>
      </c>
      <c r="G202" t="n">
        <v>1</v>
      </c>
      <c r="H202" t="inlineStr">
        <is>
          <t>Wrythe Lane, Carshalton, Sutton</t>
        </is>
      </c>
      <c r="I202" t="inlineStr">
        <is>
          <t>Completely refurbished two-bedroom maisonette with sleek kitchen and modern bathroom, wood-effect floors and private garden plus off-street parking. Bright reception and bedrooms with leafy outlook and fitted wardrobes. Double glazing, gas central heating; close to shops and green spaces.</t>
        </is>
      </c>
      <c r="J202" t="inlineStr">
        <is>
          <t>https://www.rightmove.co.uk/properties/168033779#/?channel=RES_LET</t>
        </is>
      </c>
      <c r="K202" t="inlineStr">
        <is>
          <t>/property-to-rent/contactBranch.html?propertyId=168033779</t>
        </is>
      </c>
      <c r="L202" t="inlineStr">
        <is>
          <t>HES Residential, Sutton</t>
        </is>
      </c>
      <c r="M202" t="n">
        <v>16373</v>
      </c>
      <c r="N202" t="inlineStr">
        <is>
          <t>Added on 09/10/2025</t>
        </is>
      </c>
      <c r="O202" t="inlineStr">
        <is>
          <t>2025-10-09T13:16:49Z</t>
        </is>
      </c>
      <c r="R202" t="inlineStr">
        <is>
          <t>2025-10-16T17:42:23.093714</t>
        </is>
      </c>
      <c r="S202" t="inlineStr">
        <is>
          <t>{'let available date': 'Now', 'deposit': 'Ask agent', 'min. tenancy': 'Ask agent', 'let type': 'Long term', 'furnish type': 'Unfurnished', 'council tax': 'Ask agent'}</t>
        </is>
      </c>
      <c r="V202" t="b">
        <v>1</v>
      </c>
      <c r="X202" t="n">
        <v>19.6</v>
      </c>
      <c r="Y202" t="n">
        <v>60.5</v>
      </c>
      <c r="Z202">
        <f>IF(AND(ISNUMBER(B202), ISNUMBER(MIN(B$2:B$486)), ISNUMBER(MAX(B$2:B$486))), IF(MAX(B$2:B$486)=MIN(B$2:B$486), 50, ROUND((MAX(B$2:B$486)-B202)/(MAX(B$2:B$486)-MIN(B$2:B$486))*100, 2)), "")</f>
        <v/>
      </c>
      <c r="AA202">
        <f>IF(AND(ISNUMBER(X202), ISNUMBER(MIN(X$2:X$486)), ISNUMBER(MAX(X$2:X$486))), IF(MAX(X$2:X$486)=MIN(X$2:X$486), 50, ROUND((MAX(X$2:X$486)-X202)/(MAX(X$2:X$486)-MIN(X$2:X$486))*100, 2)), "")</f>
        <v/>
      </c>
      <c r="AB202">
        <f>IF(AND(ISNUMBER(U202), ISNUMBER(MIN(U$2:U$486)), ISNUMBER(MAX(U$2:U$486))), IF(MAX(U$2:U$486)=MIN(U$2:U$486), 50, ROUND((U202-MIN(U$2:U$486))/(MAX(U$2:U$486)-MIN(U$2:U$486))*100, 2)), "")</f>
        <v/>
      </c>
      <c r="AC202">
        <f>IF(AND(ISNUMBER(Z202), ISNUMBER(AA202), ISNUMBER(AB202)), ROUND((Z202+AA202+AB202)/3, 2), "")</f>
        <v/>
      </c>
    </row>
    <row r="203">
      <c r="A203" t="n">
        <v>165810821</v>
      </c>
      <c r="B203" t="n">
        <v>1650</v>
      </c>
      <c r="C203" t="inlineStr">
        <is>
          <t>£1,650 pcm</t>
        </is>
      </c>
      <c r="D203" t="inlineStr">
        <is>
          <t>monthly</t>
        </is>
      </c>
      <c r="E203" t="inlineStr">
        <is>
          <t>Flat</t>
        </is>
      </c>
      <c r="F203" t="n">
        <v>2</v>
      </c>
      <c r="G203" t="n">
        <v>2</v>
      </c>
      <c r="H203" t="inlineStr">
        <is>
          <t>Great North Way, Hendon, NW4</t>
        </is>
      </c>
      <c r="I203" t="inlineStr">
        <is>
          <t>Cosway Estates are pleased to offer this delightful and modern two double bedroom second floor flat set within a desirable block with a lift, located on the borders of Mill Hill/Hendon. This property consists of modern fitted kitchen; spacious reception room; two good size double bedrooms (master...</t>
        </is>
      </c>
      <c r="J203" t="inlineStr">
        <is>
          <t>https://www.rightmove.co.uk/properties/165810821#/?channel=RES_LET</t>
        </is>
      </c>
      <c r="K203" t="inlineStr">
        <is>
          <t>/property-to-rent/contactBranch.html?propertyId=165810821</t>
        </is>
      </c>
      <c r="L203" t="inlineStr">
        <is>
          <t>Cosway Estates, Mill Hill</t>
        </is>
      </c>
      <c r="M203" t="n">
        <v>9970</v>
      </c>
      <c r="N203" t="inlineStr">
        <is>
          <t>Reduced on 09/10/2025</t>
        </is>
      </c>
      <c r="O203" t="inlineStr">
        <is>
          <t>2025-08-15T16:47:15Z</t>
        </is>
      </c>
      <c r="Q203" t="inlineStr">
        <is>
          <t>NW4</t>
        </is>
      </c>
      <c r="R203" t="inlineStr">
        <is>
          <t>2025-10-16T17:42:23.093717</t>
        </is>
      </c>
      <c r="S203" t="inlineStr">
        <is>
          <t>{'let available date': 'Now', 'deposit': 'Ask agent', 'min. tenancy': 'Ask agent', 'let type': 'Long term', 'furnish type': 'Unfurnished', 'council tax': 'Ask agent'}</t>
        </is>
      </c>
      <c r="V203" t="b">
        <v>1</v>
      </c>
      <c r="X203" t="n">
        <v>14.2</v>
      </c>
      <c r="Y203" t="n">
        <v>43.7</v>
      </c>
      <c r="Z203">
        <f>IF(AND(ISNUMBER(B203), ISNUMBER(MIN(B$2:B$486)), ISNUMBER(MAX(B$2:B$486))), IF(MAX(B$2:B$486)=MIN(B$2:B$486), 50, ROUND((MAX(B$2:B$486)-B203)/(MAX(B$2:B$486)-MIN(B$2:B$486))*100, 2)), "")</f>
        <v/>
      </c>
      <c r="AA203">
        <f>IF(AND(ISNUMBER(X203), ISNUMBER(MIN(X$2:X$486)), ISNUMBER(MAX(X$2:X$486))), IF(MAX(X$2:X$486)=MIN(X$2:X$486), 50, ROUND((MAX(X$2:X$486)-X203)/(MAX(X$2:X$486)-MIN(X$2:X$486))*100, 2)), "")</f>
        <v/>
      </c>
      <c r="AB203">
        <f>IF(AND(ISNUMBER(U203), ISNUMBER(MIN(U$2:U$486)), ISNUMBER(MAX(U$2:U$486))), IF(MAX(U$2:U$486)=MIN(U$2:U$486), 50, ROUND((U203-MIN(U$2:U$486))/(MAX(U$2:U$486)-MIN(U$2:U$486))*100, 2)), "")</f>
        <v/>
      </c>
      <c r="AC203">
        <f>IF(AND(ISNUMBER(Z203), ISNUMBER(AA203), ISNUMBER(AB203)), ROUND((Z203+AA203+AB203)/3, 2), "")</f>
        <v/>
      </c>
    </row>
    <row r="204">
      <c r="A204" t="n">
        <v>168029789</v>
      </c>
      <c r="B204" t="n">
        <v>1585</v>
      </c>
      <c r="C204" t="inlineStr">
        <is>
          <t>£1,585 pcm</t>
        </is>
      </c>
      <c r="D204" t="inlineStr">
        <is>
          <t>monthly</t>
        </is>
      </c>
      <c r="E204" t="inlineStr">
        <is>
          <t>Apartment</t>
        </is>
      </c>
      <c r="F204" t="n">
        <v>2</v>
      </c>
      <c r="G204" t="n">
        <v>1</v>
      </c>
      <c r="H204" t="inlineStr">
        <is>
          <t>Foxglove Way, WALLINGTON</t>
        </is>
      </c>
      <c r="I204" t="inlineStr">
        <is>
          <t>**Zero Deposit Available**
A SPACIOUS AND BRIGHT GROUND FLOOR TWO BEDROOM APARTMENT IDEALLY LOCATED TO LOCAL AMENTIES</t>
        </is>
      </c>
      <c r="J204" t="inlineStr">
        <is>
          <t>https://www.rightmove.co.uk/properties/168029789#/?channel=RES_LET</t>
        </is>
      </c>
      <c r="K204" t="inlineStr">
        <is>
          <t>/property-to-rent/contactBranch.html?propertyId=168029789</t>
        </is>
      </c>
      <c r="L204" t="inlineStr">
        <is>
          <t>Barnard Marcus Lettings, Wallington - Lettings</t>
        </is>
      </c>
      <c r="M204" t="n">
        <v>135566</v>
      </c>
      <c r="N204" t="inlineStr">
        <is>
          <t>Added on 09/10/2025</t>
        </is>
      </c>
      <c r="O204" t="inlineStr">
        <is>
          <t>2025-10-09T12:36:05Z</t>
        </is>
      </c>
      <c r="R204" t="inlineStr">
        <is>
          <t>2025-10-16T17:42:23.093720</t>
        </is>
      </c>
      <c r="S204" t="inlineStr">
        <is>
          <t>{'let available date': '23/10/2025', 'deposit': '£1,828', 'min. tenancy': 'Ask agent', 'let type': 'Long term', 'furnish type': 'Unfurnished', 'council tax': 'Ask agent'}</t>
        </is>
      </c>
      <c r="V204" t="b">
        <v>1</v>
      </c>
      <c r="X204" t="n">
        <v>17.9</v>
      </c>
      <c r="Y204" t="n">
        <v>59.7</v>
      </c>
      <c r="Z204">
        <f>IF(AND(ISNUMBER(B204), ISNUMBER(MIN(B$2:B$486)), ISNUMBER(MAX(B$2:B$486))), IF(MAX(B$2:B$486)=MIN(B$2:B$486), 50, ROUND((MAX(B$2:B$486)-B204)/(MAX(B$2:B$486)-MIN(B$2:B$486))*100, 2)), "")</f>
        <v/>
      </c>
      <c r="AA204">
        <f>IF(AND(ISNUMBER(X204), ISNUMBER(MIN(X$2:X$486)), ISNUMBER(MAX(X$2:X$486))), IF(MAX(X$2:X$486)=MIN(X$2:X$486), 50, ROUND((MAX(X$2:X$486)-X204)/(MAX(X$2:X$486)-MIN(X$2:X$486))*100, 2)), "")</f>
        <v/>
      </c>
      <c r="AB204">
        <f>IF(AND(ISNUMBER(U204), ISNUMBER(MIN(U$2:U$486)), ISNUMBER(MAX(U$2:U$486))), IF(MAX(U$2:U$486)=MIN(U$2:U$486), 50, ROUND((U204-MIN(U$2:U$486))/(MAX(U$2:U$486)-MIN(U$2:U$486))*100, 2)), "")</f>
        <v/>
      </c>
      <c r="AC204">
        <f>IF(AND(ISNUMBER(Z204), ISNUMBER(AA204), ISNUMBER(AB204)), ROUND((Z204+AA204+AB204)/3, 2), "")</f>
        <v/>
      </c>
    </row>
    <row r="205">
      <c r="A205" t="n">
        <v>168029477</v>
      </c>
      <c r="B205" t="n">
        <v>1750</v>
      </c>
      <c r="C205" t="inlineStr">
        <is>
          <t>£1,750 pcm</t>
        </is>
      </c>
      <c r="D205" t="inlineStr">
        <is>
          <t>monthly</t>
        </is>
      </c>
      <c r="E205" t="inlineStr">
        <is>
          <t>Flat</t>
        </is>
      </c>
      <c r="F205" t="n">
        <v>2</v>
      </c>
      <c r="G205" t="n">
        <v>1</v>
      </c>
      <c r="H205" t="inlineStr">
        <is>
          <t>Old Church Road, Chingford E4 6ST</t>
        </is>
      </c>
      <c r="I205" t="inlineStr">
        <is>
          <t>STUNNING 2 BED 1ST FLOOR FLAT: This spacious flat has been fully refurbished to a very high standard with a brand new kitchen and bathroom WC. CALL NOW</t>
        </is>
      </c>
      <c r="J205" t="inlineStr">
        <is>
          <t>https://www.rightmove.co.uk/properties/168029477#/?channel=RES_LET</t>
        </is>
      </c>
      <c r="K205" t="inlineStr">
        <is>
          <t>/property-to-rent/contactBranch.html?propertyId=168029477</t>
        </is>
      </c>
      <c r="L205" t="inlineStr">
        <is>
          <t>Neon Estates, Barkingside</t>
        </is>
      </c>
      <c r="M205" t="n">
        <v>288260</v>
      </c>
      <c r="N205" t="inlineStr">
        <is>
          <t>Added on 09/10/2025</t>
        </is>
      </c>
      <c r="O205" t="inlineStr">
        <is>
          <t>2025-10-09T12:32:08Z</t>
        </is>
      </c>
      <c r="Q205" t="inlineStr">
        <is>
          <t>E4</t>
        </is>
      </c>
      <c r="R205" t="inlineStr">
        <is>
          <t>2025-10-16T17:42:23.093727</t>
        </is>
      </c>
      <c r="S205" t="inlineStr">
        <is>
          <t>{'let available date': 'Now', 'deposit': '£2,019', 'min. tenancy': 'Ask agent', 'let type': 'Long term', 'furnish type': 'Unfurnished', 'council tax': 'Ask agent'}</t>
        </is>
      </c>
      <c r="V205" t="b">
        <v>1</v>
      </c>
      <c r="X205" t="n">
        <v>19.48</v>
      </c>
      <c r="Y205" t="n">
        <v>57.2</v>
      </c>
      <c r="Z205">
        <f>IF(AND(ISNUMBER(B205), ISNUMBER(MIN(B$2:B$486)), ISNUMBER(MAX(B$2:B$486))), IF(MAX(B$2:B$486)=MIN(B$2:B$486), 50, ROUND((MAX(B$2:B$486)-B205)/(MAX(B$2:B$486)-MIN(B$2:B$486))*100, 2)), "")</f>
        <v/>
      </c>
      <c r="AA205">
        <f>IF(AND(ISNUMBER(X205), ISNUMBER(MIN(X$2:X$486)), ISNUMBER(MAX(X$2:X$486))), IF(MAX(X$2:X$486)=MIN(X$2:X$486), 50, ROUND((MAX(X$2:X$486)-X205)/(MAX(X$2:X$486)-MIN(X$2:X$486))*100, 2)), "")</f>
        <v/>
      </c>
      <c r="AB205">
        <f>IF(AND(ISNUMBER(U205), ISNUMBER(MIN(U$2:U$486)), ISNUMBER(MAX(U$2:U$486))), IF(MAX(U$2:U$486)=MIN(U$2:U$486), 50, ROUND((U205-MIN(U$2:U$486))/(MAX(U$2:U$486)-MIN(U$2:U$486))*100, 2)), "")</f>
        <v/>
      </c>
      <c r="AC205">
        <f>IF(AND(ISNUMBER(Z205), ISNUMBER(AA205), ISNUMBER(AB205)), ROUND((Z205+AA205+AB205)/3, 2), "")</f>
        <v/>
      </c>
    </row>
    <row r="206">
      <c r="A206" t="n">
        <v>168027560</v>
      </c>
      <c r="B206" t="n">
        <v>1675</v>
      </c>
      <c r="C206" t="inlineStr">
        <is>
          <t>£1,675 pcm</t>
        </is>
      </c>
      <c r="D206" t="inlineStr">
        <is>
          <t>monthly</t>
        </is>
      </c>
      <c r="E206" t="inlineStr">
        <is>
          <t>Apartment</t>
        </is>
      </c>
      <c r="F206" t="n">
        <v>2</v>
      </c>
      <c r="G206" t="n">
        <v>1</v>
      </c>
      <c r="H206" t="inlineStr">
        <is>
          <t>Baywillow Avenue, Carshalton, SM5</t>
        </is>
      </c>
      <c r="I206" t="inlineStr">
        <is>
          <t>A beautifully presented two-bedroom top-floor apartment set within a sought-after residential development, offering modern living in a peaceful yet well-connected location. Situated on the second (top) floor, this delightful flat is bright and spacious throughout. As you enter, a large...</t>
        </is>
      </c>
      <c r="J206" t="inlineStr">
        <is>
          <t>https://www.rightmove.co.uk/properties/168027560#/?channel=RES_LET</t>
        </is>
      </c>
      <c r="K206" t="inlineStr">
        <is>
          <t>/property-to-rent/contactBranch.html?propertyId=168027560</t>
        </is>
      </c>
      <c r="L206" t="inlineStr">
        <is>
          <t>Choices, Croydon</t>
        </is>
      </c>
      <c r="M206" t="n">
        <v>12401</v>
      </c>
      <c r="N206" t="inlineStr">
        <is>
          <t>Added on 09/10/2025</t>
        </is>
      </c>
      <c r="O206" t="inlineStr">
        <is>
          <t>2025-10-09T12:10:51Z</t>
        </is>
      </c>
      <c r="Q206" t="inlineStr">
        <is>
          <t>SM5</t>
        </is>
      </c>
      <c r="R206" t="inlineStr">
        <is>
          <t>2025-10-16T17:42:23.093731</t>
        </is>
      </c>
      <c r="S206" t="inlineStr">
        <is>
          <t>{'let available date': '01/12/2025', 'deposit': '£0', 'min. tenancy': 'Ask agent', 'let type': 'Long term', 'furnish type': 'Furnished', 'council tax': 'Ask agent'}</t>
        </is>
      </c>
      <c r="V206" t="b">
        <v>1</v>
      </c>
      <c r="X206" t="n">
        <v>21.04</v>
      </c>
      <c r="Y206" t="n">
        <v>65.59999999999999</v>
      </c>
      <c r="Z206">
        <f>IF(AND(ISNUMBER(B206), ISNUMBER(MIN(B$2:B$486)), ISNUMBER(MAX(B$2:B$486))), IF(MAX(B$2:B$486)=MIN(B$2:B$486), 50, ROUND((MAX(B$2:B$486)-B206)/(MAX(B$2:B$486)-MIN(B$2:B$486))*100, 2)), "")</f>
        <v/>
      </c>
      <c r="AA206">
        <f>IF(AND(ISNUMBER(X206), ISNUMBER(MIN(X$2:X$486)), ISNUMBER(MAX(X$2:X$486))), IF(MAX(X$2:X$486)=MIN(X$2:X$486), 50, ROUND((MAX(X$2:X$486)-X206)/(MAX(X$2:X$486)-MIN(X$2:X$486))*100, 2)), "")</f>
        <v/>
      </c>
      <c r="AB206">
        <f>IF(AND(ISNUMBER(U206), ISNUMBER(MIN(U$2:U$486)), ISNUMBER(MAX(U$2:U$486))), IF(MAX(U$2:U$486)=MIN(U$2:U$486), 50, ROUND((U206-MIN(U$2:U$486))/(MAX(U$2:U$486)-MIN(U$2:U$486))*100, 2)), "")</f>
        <v/>
      </c>
      <c r="AC206">
        <f>IF(AND(ISNUMBER(Z206), ISNUMBER(AA206), ISNUMBER(AB206)), ROUND((Z206+AA206+AB206)/3, 2), "")</f>
        <v/>
      </c>
    </row>
    <row r="207">
      <c r="A207" t="n">
        <v>168026627</v>
      </c>
      <c r="B207" t="n">
        <v>1750</v>
      </c>
      <c r="C207" t="inlineStr">
        <is>
          <t>£1,750 pcm</t>
        </is>
      </c>
      <c r="D207" t="inlineStr">
        <is>
          <t>monthly</t>
        </is>
      </c>
      <c r="E207" t="inlineStr">
        <is>
          <t>Flat</t>
        </is>
      </c>
      <c r="F207" t="n">
        <v>2</v>
      </c>
      <c r="G207" t="n">
        <v>1</v>
      </c>
      <c r="H207" t="inlineStr">
        <is>
          <t>Classinghall House, 
Kersfield Road, SW15</t>
        </is>
      </c>
      <c r="I207" t="inlineStr">
        <is>
          <t>A spacious and comfortable first floor apartment set within this small residential building on this quiet and sought-after road near Putney Hill.</t>
        </is>
      </c>
      <c r="J207" t="inlineStr">
        <is>
          <t>https://www.rightmove.co.uk/properties/168026627#/?channel=RES_LET</t>
        </is>
      </c>
      <c r="K207" t="inlineStr">
        <is>
          <t>/property-to-rent/contactBranch.html?propertyId=168026627</t>
        </is>
      </c>
      <c r="L207" t="inlineStr">
        <is>
          <t>Chestertons, Putney Lettings</t>
        </is>
      </c>
      <c r="M207" t="n">
        <v>51325</v>
      </c>
      <c r="N207" t="inlineStr">
        <is>
          <t>Added on 09/10/2025</t>
        </is>
      </c>
      <c r="O207" t="inlineStr">
        <is>
          <t>2025-10-09T12:00:43Z</t>
        </is>
      </c>
      <c r="Q207" t="inlineStr">
        <is>
          <t>SW15</t>
        </is>
      </c>
      <c r="R207" t="inlineStr">
        <is>
          <t>2025-10-16T17:42:23.093734</t>
        </is>
      </c>
      <c r="S207" t="inlineStr">
        <is>
          <t>{'let available date': '06/12/2025', 'deposit': '£2,019', 'min. tenancy': '12 months', 'let type': 'Long term', 'furnish type': 'Furnished', 'council tax': 'Ask agent'}</t>
        </is>
      </c>
      <c r="V207" t="b">
        <v>1</v>
      </c>
      <c r="X207" t="n">
        <v>10.66</v>
      </c>
      <c r="Y207" t="n">
        <v>44.5</v>
      </c>
      <c r="Z207">
        <f>IF(AND(ISNUMBER(B207), ISNUMBER(MIN(B$2:B$486)), ISNUMBER(MAX(B$2:B$486))), IF(MAX(B$2:B$486)=MIN(B$2:B$486), 50, ROUND((MAX(B$2:B$486)-B207)/(MAX(B$2:B$486)-MIN(B$2:B$486))*100, 2)), "")</f>
        <v/>
      </c>
      <c r="AA207">
        <f>IF(AND(ISNUMBER(X207), ISNUMBER(MIN(X$2:X$486)), ISNUMBER(MAX(X$2:X$486))), IF(MAX(X$2:X$486)=MIN(X$2:X$486), 50, ROUND((MAX(X$2:X$486)-X207)/(MAX(X$2:X$486)-MIN(X$2:X$486))*100, 2)), "")</f>
        <v/>
      </c>
      <c r="AB207">
        <f>IF(AND(ISNUMBER(U207), ISNUMBER(MIN(U$2:U$486)), ISNUMBER(MAX(U$2:U$486))), IF(MAX(U$2:U$486)=MIN(U$2:U$486), 50, ROUND((U207-MIN(U$2:U$486))/(MAX(U$2:U$486)-MIN(U$2:U$486))*100, 2)), "")</f>
        <v/>
      </c>
      <c r="AC207">
        <f>IF(AND(ISNUMBER(Z207), ISNUMBER(AA207), ISNUMBER(AB207)), ROUND((Z207+AA207+AB207)/3, 2), "")</f>
        <v/>
      </c>
    </row>
    <row r="208">
      <c r="A208" t="n">
        <v>168256529</v>
      </c>
      <c r="B208" t="n">
        <v>1700</v>
      </c>
      <c r="C208" t="inlineStr">
        <is>
          <t>£1,700 pcm</t>
        </is>
      </c>
      <c r="D208" t="inlineStr">
        <is>
          <t>monthly</t>
        </is>
      </c>
      <c r="E208" t="inlineStr">
        <is>
          <t>Flat</t>
        </is>
      </c>
      <c r="F208" t="n">
        <v>2</v>
      </c>
      <c r="G208" t="n">
        <v>1</v>
      </c>
      <c r="H208" t="inlineStr">
        <is>
          <t>High Road Leyton, London, E10</t>
        </is>
      </c>
      <c r="I208" t="inlineStr">
        <is>
          <t>REFURBISHED TWO BEDROOM FIRST FLOOR FLAT: A two double bedroom top floor flat that is perfectly situated on Leyton High Road.</t>
        </is>
      </c>
      <c r="J208" t="inlineStr">
        <is>
          <t>https://www.rightmove.co.uk/properties/168256529#/?channel=RES_LET</t>
        </is>
      </c>
      <c r="K208" t="inlineStr">
        <is>
          <t>/property-to-rent/contactBranch.html?propertyId=168256529</t>
        </is>
      </c>
      <c r="L208" t="inlineStr">
        <is>
          <t>Portico, Leyton</t>
        </is>
      </c>
      <c r="M208" t="n">
        <v>247505</v>
      </c>
      <c r="N208" t="inlineStr">
        <is>
          <t>Added on 09/10/2025</t>
        </is>
      </c>
      <c r="O208" t="inlineStr">
        <is>
          <t>2025-10-16T12:37:01Z</t>
        </is>
      </c>
      <c r="Q208" t="inlineStr">
        <is>
          <t>E10</t>
        </is>
      </c>
      <c r="R208" t="inlineStr">
        <is>
          <t>2025-10-16T17:42:23.093738</t>
        </is>
      </c>
      <c r="S208" t="inlineStr">
        <is>
          <t>{'let available date': '04/12/2025', 'deposit': 'Ask agent', 'min. tenancy': 'Ask agent', 'let type': 'Long term', 'furnish type': 'Unfurnished', 'council tax': 'Ask agent'}</t>
        </is>
      </c>
      <c r="V208" t="b">
        <v>1</v>
      </c>
      <c r="X208" t="n">
        <v>12.31</v>
      </c>
      <c r="Y208" t="n">
        <v>49.3</v>
      </c>
      <c r="Z208">
        <f>IF(AND(ISNUMBER(B208), ISNUMBER(MIN(B$2:B$486)), ISNUMBER(MAX(B$2:B$486))), IF(MAX(B$2:B$486)=MIN(B$2:B$486), 50, ROUND((MAX(B$2:B$486)-B208)/(MAX(B$2:B$486)-MIN(B$2:B$486))*100, 2)), "")</f>
        <v/>
      </c>
      <c r="AA208">
        <f>IF(AND(ISNUMBER(X208), ISNUMBER(MIN(X$2:X$486)), ISNUMBER(MAX(X$2:X$486))), IF(MAX(X$2:X$486)=MIN(X$2:X$486), 50, ROUND((MAX(X$2:X$486)-X208)/(MAX(X$2:X$486)-MIN(X$2:X$486))*100, 2)), "")</f>
        <v/>
      </c>
      <c r="AB208">
        <f>IF(AND(ISNUMBER(U208), ISNUMBER(MIN(U$2:U$486)), ISNUMBER(MAX(U$2:U$486))), IF(MAX(U$2:U$486)=MIN(U$2:U$486), 50, ROUND((U208-MIN(U$2:U$486))/(MAX(U$2:U$486)-MIN(U$2:U$486))*100, 2)), "")</f>
        <v/>
      </c>
      <c r="AC208">
        <f>IF(AND(ISNUMBER(Z208), ISNUMBER(AA208), ISNUMBER(AB208)), ROUND((Z208+AA208+AB208)/3, 2), "")</f>
        <v/>
      </c>
    </row>
    <row r="209">
      <c r="A209" t="n">
        <v>167439767</v>
      </c>
      <c r="B209" t="n">
        <v>1650</v>
      </c>
      <c r="C209" t="inlineStr">
        <is>
          <t>£1,650 pcm</t>
        </is>
      </c>
      <c r="D209" t="inlineStr">
        <is>
          <t>monthly</t>
        </is>
      </c>
      <c r="E209" t="inlineStr">
        <is>
          <t>Apartment</t>
        </is>
      </c>
      <c r="F209" t="n">
        <v>2</v>
      </c>
      <c r="G209" t="n">
        <v>1</v>
      </c>
      <c r="H209" t="inlineStr">
        <is>
          <t>Edgelinks, Forest View, North Chingford.</t>
        </is>
      </c>
      <c r="I209" t="inlineStr">
        <is>
          <t>Set in this popular location in North Chingford is this delightful ground floor apartment at Edgelinks Forest View with its superb location opposite Forest Land the apartment offers a perfect blend of comfort and convenience. this two well-proportioned bedroom apartment, offers ideal for couples...</t>
        </is>
      </c>
      <c r="J209" t="inlineStr">
        <is>
          <t>https://www.rightmove.co.uk/properties/167439767#/?channel=RES_LET</t>
        </is>
      </c>
      <c r="K209" t="inlineStr">
        <is>
          <t>/property-to-rent/contactBranch.html?propertyId=167439767</t>
        </is>
      </c>
      <c r="L209" t="inlineStr">
        <is>
          <t>Churchill Estates, North Chingford &amp; Sewardstone</t>
        </is>
      </c>
      <c r="M209" t="n">
        <v>10141</v>
      </c>
      <c r="N209" t="inlineStr">
        <is>
          <t>Added on 25/09/2025</t>
        </is>
      </c>
      <c r="O209" t="inlineStr">
        <is>
          <t>2025-09-25T17:58:05Z</t>
        </is>
      </c>
      <c r="R209" t="inlineStr">
        <is>
          <t>2025-10-16T17:42:23.093741</t>
        </is>
      </c>
      <c r="S209" t="inlineStr">
        <is>
          <t>{'let available date': 'Now', 'deposit': '£1,903', 'min. tenancy': 'Ask agent', 'let type': 'Long term', 'furnish type': 'Unfurnished', 'council tax': 'Ask agent'}</t>
        </is>
      </c>
      <c r="T209" t="n">
        <v>599</v>
      </c>
      <c r="U209" t="n">
        <v>56</v>
      </c>
      <c r="V209" t="b">
        <v>1</v>
      </c>
      <c r="X209" t="n">
        <v>21.64</v>
      </c>
      <c r="Y209" t="n">
        <v>61.1</v>
      </c>
      <c r="Z209">
        <f>IF(AND(ISNUMBER(B209), ISNUMBER(MIN(B$2:B$486)), ISNUMBER(MAX(B$2:B$486))), IF(MAX(B$2:B$486)=MIN(B$2:B$486), 50, ROUND((MAX(B$2:B$486)-B209)/(MAX(B$2:B$486)-MIN(B$2:B$486))*100, 2)), "")</f>
        <v/>
      </c>
      <c r="AA209">
        <f>IF(AND(ISNUMBER(X209), ISNUMBER(MIN(X$2:X$486)), ISNUMBER(MAX(X$2:X$486))), IF(MAX(X$2:X$486)=MIN(X$2:X$486), 50, ROUND((MAX(X$2:X$486)-X209)/(MAX(X$2:X$486)-MIN(X$2:X$486))*100, 2)), "")</f>
        <v/>
      </c>
      <c r="AB209">
        <f>IF(AND(ISNUMBER(U209), ISNUMBER(MIN(U$2:U$486)), ISNUMBER(MAX(U$2:U$486))), IF(MAX(U$2:U$486)=MIN(U$2:U$486), 50, ROUND((U209-MIN(U$2:U$486))/(MAX(U$2:U$486)-MIN(U$2:U$486))*100, 2)), "")</f>
        <v/>
      </c>
      <c r="AC209">
        <f>IF(AND(ISNUMBER(Z209), ISNUMBER(AA209), ISNUMBER(AB209)), ROUND((Z209+AA209+AB209)/3, 2), "")</f>
        <v/>
      </c>
    </row>
    <row r="210">
      <c r="A210" t="n">
        <v>165520709</v>
      </c>
      <c r="B210" t="n">
        <v>1750</v>
      </c>
      <c r="C210" t="inlineStr">
        <is>
          <t>£1,750 pcm</t>
        </is>
      </c>
      <c r="D210" t="inlineStr">
        <is>
          <t>monthly</t>
        </is>
      </c>
      <c r="E210" t="inlineStr">
        <is>
          <t>Apartment</t>
        </is>
      </c>
      <c r="F210" t="n">
        <v>2</v>
      </c>
      <c r="G210" t="n">
        <v>1</v>
      </c>
      <c r="H210" t="inlineStr">
        <is>
          <t>Leslie Road, East Finchley, London, N2</t>
        </is>
      </c>
      <c r="I210" t="inlineStr">
        <is>
          <t>A MODERN Two bedroom flat set within a MODERN APARTMENT BUILDING with a LIFT in the heart of EAST FINCHLEY. Benefits include LARGE LOUNGE / DINING ROOM, MODERN FITTED KITCHEN with Gas Hob, Dishwasher, Washer dryer, two bedrooms and MODERN TILED BATHROOM WC, VIDEO ENTRYPHONE. Offered FURNISHED.</t>
        </is>
      </c>
      <c r="J210" t="inlineStr">
        <is>
          <t>https://www.rightmove.co.uk/properties/165520709#/?channel=RES_LET</t>
        </is>
      </c>
      <c r="K210" t="inlineStr">
        <is>
          <t>/property-to-rent/contactBranch.html?propertyId=165520709</t>
        </is>
      </c>
      <c r="L210" t="inlineStr">
        <is>
          <t>Drivers &amp; Norris, Finchley</t>
        </is>
      </c>
      <c r="M210" t="n">
        <v>260939</v>
      </c>
      <c r="N210" t="inlineStr">
        <is>
          <t>Reduced on 09/10/2025</t>
        </is>
      </c>
      <c r="O210" t="inlineStr">
        <is>
          <t>2025-08-08T09:56:59Z</t>
        </is>
      </c>
      <c r="Q210" t="inlineStr">
        <is>
          <t>N2</t>
        </is>
      </c>
      <c r="R210" t="inlineStr">
        <is>
          <t>2025-10-16T17:42:23.093744</t>
        </is>
      </c>
      <c r="S210" t="inlineStr">
        <is>
          <t>{'let available date': 'Now', 'deposit': '£2,019', 'min. tenancy': 'Ask agent', 'let type': 'Long term', 'furnish type': 'Furnished', 'council tax': 'Ask agent'}</t>
        </is>
      </c>
      <c r="V210" t="b">
        <v>1</v>
      </c>
      <c r="X210" t="n">
        <v>11.27</v>
      </c>
      <c r="Y210" t="n">
        <v>40.4</v>
      </c>
      <c r="Z210">
        <f>IF(AND(ISNUMBER(B210), ISNUMBER(MIN(B$2:B$486)), ISNUMBER(MAX(B$2:B$486))), IF(MAX(B$2:B$486)=MIN(B$2:B$486), 50, ROUND((MAX(B$2:B$486)-B210)/(MAX(B$2:B$486)-MIN(B$2:B$486))*100, 2)), "")</f>
        <v/>
      </c>
      <c r="AA210">
        <f>IF(AND(ISNUMBER(X210), ISNUMBER(MIN(X$2:X$486)), ISNUMBER(MAX(X$2:X$486))), IF(MAX(X$2:X$486)=MIN(X$2:X$486), 50, ROUND((MAX(X$2:X$486)-X210)/(MAX(X$2:X$486)-MIN(X$2:X$486))*100, 2)), "")</f>
        <v/>
      </c>
      <c r="AB210">
        <f>IF(AND(ISNUMBER(U210), ISNUMBER(MIN(U$2:U$486)), ISNUMBER(MAX(U$2:U$486))), IF(MAX(U$2:U$486)=MIN(U$2:U$486), 50, ROUND((U210-MIN(U$2:U$486))/(MAX(U$2:U$486)-MIN(U$2:U$486))*100, 2)), "")</f>
        <v/>
      </c>
      <c r="AC210">
        <f>IF(AND(ISNUMBER(Z210), ISNUMBER(AA210), ISNUMBER(AB210)), ROUND((Z210+AA210+AB210)/3, 2), "")</f>
        <v/>
      </c>
    </row>
    <row r="211">
      <c r="A211" t="n">
        <v>168017939</v>
      </c>
      <c r="B211" t="n">
        <v>1750</v>
      </c>
      <c r="C211" t="inlineStr">
        <is>
          <t>£1,750 pcm</t>
        </is>
      </c>
      <c r="D211" t="inlineStr">
        <is>
          <t>monthly</t>
        </is>
      </c>
      <c r="E211" t="inlineStr">
        <is>
          <t>Flat</t>
        </is>
      </c>
      <c r="F211" t="n">
        <v>2</v>
      </c>
      <c r="G211" t="n">
        <v>1</v>
      </c>
      <c r="H211" t="inlineStr">
        <is>
          <t>Twickenham Road, Isleworth</t>
        </is>
      </c>
      <c r="I211" t="inlineStr">
        <is>
          <t>This two double bedroom top floor apartment has just undergone refurbishment and offers bright and spacious living throughout. It features a modern eat-in kitchen, stylish wood floors, and a private balcony perfect for relaxing or entertaining. Residents also benefit from access to well-maintaine...</t>
        </is>
      </c>
      <c r="J211" t="inlineStr">
        <is>
          <t>https://www.rightmove.co.uk/properties/168017939#/?channel=RES_LET</t>
        </is>
      </c>
      <c r="K211" t="inlineStr">
        <is>
          <t>/property-to-rent/contactBranch.html?propertyId=168017939</t>
        </is>
      </c>
      <c r="L211" t="inlineStr">
        <is>
          <t>Dexters, St Margarets</t>
        </is>
      </c>
      <c r="M211" t="n">
        <v>84809</v>
      </c>
      <c r="N211" t="inlineStr">
        <is>
          <t>Added on 09/10/2025</t>
        </is>
      </c>
      <c r="O211" t="inlineStr">
        <is>
          <t>2025-10-09T10:18:25Z</t>
        </is>
      </c>
      <c r="R211" t="inlineStr">
        <is>
          <t>2025-10-16T17:42:23.093748</t>
        </is>
      </c>
      <c r="S211" t="inlineStr">
        <is>
          <t>{'let available date': 'Ask agent', 'deposit': '£2,019', 'min. tenancy': 'Ask agent', 'let type': 'Long term', 'furnish type': 'Unfurnished', 'council tax': 'Ask agent'}</t>
        </is>
      </c>
      <c r="V211" t="b">
        <v>1</v>
      </c>
      <c r="X211" t="n">
        <v>17.9</v>
      </c>
      <c r="Y211" t="n">
        <v>54.3</v>
      </c>
      <c r="Z211">
        <f>IF(AND(ISNUMBER(B211), ISNUMBER(MIN(B$2:B$486)), ISNUMBER(MAX(B$2:B$486))), IF(MAX(B$2:B$486)=MIN(B$2:B$486), 50, ROUND((MAX(B$2:B$486)-B211)/(MAX(B$2:B$486)-MIN(B$2:B$486))*100, 2)), "")</f>
        <v/>
      </c>
      <c r="AA211">
        <f>IF(AND(ISNUMBER(X211), ISNUMBER(MIN(X$2:X$486)), ISNUMBER(MAX(X$2:X$486))), IF(MAX(X$2:X$486)=MIN(X$2:X$486), 50, ROUND((MAX(X$2:X$486)-X211)/(MAX(X$2:X$486)-MIN(X$2:X$486))*100, 2)), "")</f>
        <v/>
      </c>
      <c r="AB211">
        <f>IF(AND(ISNUMBER(U211), ISNUMBER(MIN(U$2:U$486)), ISNUMBER(MAX(U$2:U$486))), IF(MAX(U$2:U$486)=MIN(U$2:U$486), 50, ROUND((U211-MIN(U$2:U$486))/(MAX(U$2:U$486)-MIN(U$2:U$486))*100, 2)), "")</f>
        <v/>
      </c>
      <c r="AC211">
        <f>IF(AND(ISNUMBER(Z211), ISNUMBER(AA211), ISNUMBER(AB211)), ROUND((Z211+AA211+AB211)/3, 2), "")</f>
        <v/>
      </c>
    </row>
    <row r="212">
      <c r="A212" t="n">
        <v>166849589</v>
      </c>
      <c r="B212" t="n">
        <v>1700</v>
      </c>
      <c r="C212" t="inlineStr">
        <is>
          <t>£1,700 pcm</t>
        </is>
      </c>
      <c r="D212" t="inlineStr">
        <is>
          <t>monthly</t>
        </is>
      </c>
      <c r="E212" t="inlineStr">
        <is>
          <t>Flat</t>
        </is>
      </c>
      <c r="F212" t="n">
        <v>2</v>
      </c>
      <c r="G212" t="n">
        <v>1</v>
      </c>
      <c r="H212" t="inlineStr">
        <is>
          <t>Brixton Water Lane, London, SW2</t>
        </is>
      </c>
      <c r="I212" t="inlineStr">
        <is>
          <t>Spacious 2-bed flat for rent in SW2 1PB. £1700 PCM Deposit: £1700 Un-furnished bedroom, bright open-plan kitchen/living, private bathroom, on-street parking. Quiet area with shops, schools &amp; transport nearby. Ready to move in. Contact us to arrange a viewing today!</t>
        </is>
      </c>
      <c r="J212" t="inlineStr">
        <is>
          <t>https://www.rightmove.co.uk/properties/166849589#/?channel=RES_LET</t>
        </is>
      </c>
      <c r="K212" t="inlineStr">
        <is>
          <t>/property-to-rent/contactBranch.html?propertyId=166849589</t>
        </is>
      </c>
      <c r="L212" t="inlineStr">
        <is>
          <t>Home World Management, West London</t>
        </is>
      </c>
      <c r="M212" t="n">
        <v>281402</v>
      </c>
      <c r="N212" t="inlineStr">
        <is>
          <t>Reduced on 09/10/2025</t>
        </is>
      </c>
      <c r="O212" t="inlineStr">
        <is>
          <t>2025-09-10T18:59:12Z</t>
        </is>
      </c>
      <c r="Q212" t="inlineStr">
        <is>
          <t>SW2</t>
        </is>
      </c>
      <c r="R212" t="inlineStr">
        <is>
          <t>2025-10-16T17:42:23.093751</t>
        </is>
      </c>
      <c r="S212" t="inlineStr">
        <is>
          <t>{'let available date': 'Now', 'deposit': '£1,700', 'min. tenancy': '12 months', 'let type': 'Long term', 'furnish type': 'Unfurnished', 'council tax': 'Ask agent'}</t>
        </is>
      </c>
      <c r="V212" t="b">
        <v>1</v>
      </c>
      <c r="X212" t="n">
        <v>8.66</v>
      </c>
      <c r="Y212" t="n">
        <v>35.4</v>
      </c>
      <c r="Z212">
        <f>IF(AND(ISNUMBER(B212), ISNUMBER(MIN(B$2:B$486)), ISNUMBER(MAX(B$2:B$486))), IF(MAX(B$2:B$486)=MIN(B$2:B$486), 50, ROUND((MAX(B$2:B$486)-B212)/(MAX(B$2:B$486)-MIN(B$2:B$486))*100, 2)), "")</f>
        <v/>
      </c>
      <c r="AA212">
        <f>IF(AND(ISNUMBER(X212), ISNUMBER(MIN(X$2:X$486)), ISNUMBER(MAX(X$2:X$486))), IF(MAX(X$2:X$486)=MIN(X$2:X$486), 50, ROUND((MAX(X$2:X$486)-X212)/(MAX(X$2:X$486)-MIN(X$2:X$486))*100, 2)), "")</f>
        <v/>
      </c>
      <c r="AB212">
        <f>IF(AND(ISNUMBER(U212), ISNUMBER(MIN(U$2:U$486)), ISNUMBER(MAX(U$2:U$486))), IF(MAX(U$2:U$486)=MIN(U$2:U$486), 50, ROUND((U212-MIN(U$2:U$486))/(MAX(U$2:U$486)-MIN(U$2:U$486))*100, 2)), "")</f>
        <v/>
      </c>
      <c r="AC212">
        <f>IF(AND(ISNUMBER(Z212), ISNUMBER(AA212), ISNUMBER(AB212)), ROUND((Z212+AA212+AB212)/3, 2), "")</f>
        <v/>
      </c>
    </row>
    <row r="213">
      <c r="A213" t="n">
        <v>167102534</v>
      </c>
      <c r="B213" t="n">
        <v>1750</v>
      </c>
      <c r="C213" t="inlineStr">
        <is>
          <t>£1,750 pcm</t>
        </is>
      </c>
      <c r="D213" t="inlineStr">
        <is>
          <t>monthly</t>
        </is>
      </c>
      <c r="E213" t="inlineStr">
        <is>
          <t>Flat</t>
        </is>
      </c>
      <c r="F213" t="n">
        <v>2</v>
      </c>
      <c r="G213" t="n">
        <v>2</v>
      </c>
      <c r="H213" t="inlineStr">
        <is>
          <t>Tavernelle House, High Street, Sutton, SM1</t>
        </is>
      </c>
      <c r="I213" t="inlineStr">
        <is>
          <t>2 bedroom/2 bathroom, unfurnished flat with private balcony, conveniently located just off Sutton High Street, Old Gas Works</t>
        </is>
      </c>
      <c r="J213" t="inlineStr">
        <is>
          <t>https://www.rightmove.co.uk/properties/167102534#/?channel=RES_LET</t>
        </is>
      </c>
      <c r="K213" t="inlineStr">
        <is>
          <t>/property-to-rent/contactBranch.html?propertyId=167102534</t>
        </is>
      </c>
      <c r="L213" t="inlineStr">
        <is>
          <t>Complete Prime Residential Ltd, London</t>
        </is>
      </c>
      <c r="M213" t="n">
        <v>53946</v>
      </c>
      <c r="N213" t="inlineStr">
        <is>
          <t>Reduced on 09/10/2025</t>
        </is>
      </c>
      <c r="O213" t="inlineStr">
        <is>
          <t>2025-09-17T15:07:52Z</t>
        </is>
      </c>
      <c r="Q213" t="inlineStr">
        <is>
          <t>SM1</t>
        </is>
      </c>
      <c r="R213" t="inlineStr">
        <is>
          <t>2025-10-16T17:42:23.093754</t>
        </is>
      </c>
      <c r="S213" t="inlineStr">
        <is>
          <t>{'let available date': 'Now', 'deposit': '£2,019', 'min. tenancy': '12 months', 'let type': 'Long term', 'furnish type': 'Unfurnished', 'council tax': 'Ask agent'}</t>
        </is>
      </c>
      <c r="T213" t="n">
        <v>829</v>
      </c>
      <c r="U213" t="n">
        <v>77</v>
      </c>
      <c r="V213" t="b">
        <v>1</v>
      </c>
      <c r="X213" t="n">
        <v>20.15</v>
      </c>
      <c r="Y213" t="n">
        <v>60.7</v>
      </c>
      <c r="Z213">
        <f>IF(AND(ISNUMBER(B213), ISNUMBER(MIN(B$2:B$486)), ISNUMBER(MAX(B$2:B$486))), IF(MAX(B$2:B$486)=MIN(B$2:B$486), 50, ROUND((MAX(B$2:B$486)-B213)/(MAX(B$2:B$486)-MIN(B$2:B$486))*100, 2)), "")</f>
        <v/>
      </c>
      <c r="AA213">
        <f>IF(AND(ISNUMBER(X213), ISNUMBER(MIN(X$2:X$486)), ISNUMBER(MAX(X$2:X$486))), IF(MAX(X$2:X$486)=MIN(X$2:X$486), 50, ROUND((MAX(X$2:X$486)-X213)/(MAX(X$2:X$486)-MIN(X$2:X$486))*100, 2)), "")</f>
        <v/>
      </c>
      <c r="AB213">
        <f>IF(AND(ISNUMBER(U213), ISNUMBER(MIN(U$2:U$486)), ISNUMBER(MAX(U$2:U$486))), IF(MAX(U$2:U$486)=MIN(U$2:U$486), 50, ROUND((U213-MIN(U$2:U$486))/(MAX(U$2:U$486)-MIN(U$2:U$486))*100, 2)), "")</f>
        <v/>
      </c>
      <c r="AC213">
        <f>IF(AND(ISNUMBER(Z213), ISNUMBER(AA213), ISNUMBER(AB213)), ROUND((Z213+AA213+AB213)/3, 2), "")</f>
        <v/>
      </c>
    </row>
    <row r="214">
      <c r="A214" t="n">
        <v>166673492</v>
      </c>
      <c r="B214" t="n">
        <v>1600</v>
      </c>
      <c r="C214" t="inlineStr">
        <is>
          <t>£1,600 pcm</t>
        </is>
      </c>
      <c r="D214" t="inlineStr">
        <is>
          <t>monthly</t>
        </is>
      </c>
      <c r="E214" t="inlineStr">
        <is>
          <t>Flat</t>
        </is>
      </c>
      <c r="F214" t="n">
        <v>2</v>
      </c>
      <c r="G214" t="n">
        <v>1</v>
      </c>
      <c r="H214" t="inlineStr">
        <is>
          <t>Lincoln Road, Enfield</t>
        </is>
      </c>
      <c r="I214" t="inlineStr">
        <is>
          <t>A two bedroom, top floor apartment with ample living/work space and garage en-bloc. Situated in this quiet road, adjacent to and with views over, Enfield Cricket Club grounds, the flat is level walking distance from Enfield Town shopping centre and main line station. Inspirations Montessori N...</t>
        </is>
      </c>
      <c r="J214" t="inlineStr">
        <is>
          <t>https://www.rightmove.co.uk/properties/166673492#/?channel=RES_LET</t>
        </is>
      </c>
      <c r="K214" t="inlineStr">
        <is>
          <t>/property-to-rent/contactBranch.html?propertyId=166673492</t>
        </is>
      </c>
      <c r="L214" t="inlineStr">
        <is>
          <t>James Hayward, Enfield</t>
        </is>
      </c>
      <c r="M214" t="n">
        <v>31187</v>
      </c>
      <c r="N214" t="inlineStr">
        <is>
          <t>Reduced on 09/10/2025</t>
        </is>
      </c>
      <c r="O214" t="inlineStr">
        <is>
          <t>2025-09-06T14:34:26Z</t>
        </is>
      </c>
      <c r="R214" t="inlineStr">
        <is>
          <t>2025-10-16T17:42:23.093758</t>
        </is>
      </c>
      <c r="S214" t="inlineStr">
        <is>
          <t>{'let available date': 'Ask agent', 'deposit': 'Ask agent', 'min. tenancy': 'Ask agent', 'let type': 'Long term', 'furnish type': 'Unfurnished', 'council tax': 'Ask agent'}</t>
        </is>
      </c>
      <c r="T214" t="n">
        <v>843</v>
      </c>
      <c r="U214" t="n">
        <v>78</v>
      </c>
      <c r="V214" t="b">
        <v>1</v>
      </c>
      <c r="X214" t="n">
        <v>18.7</v>
      </c>
      <c r="Y214" t="n">
        <v>56.6</v>
      </c>
      <c r="Z214">
        <f>IF(AND(ISNUMBER(B214), ISNUMBER(MIN(B$2:B$486)), ISNUMBER(MAX(B$2:B$486))), IF(MAX(B$2:B$486)=MIN(B$2:B$486), 50, ROUND((MAX(B$2:B$486)-B214)/(MAX(B$2:B$486)-MIN(B$2:B$486))*100, 2)), "")</f>
        <v/>
      </c>
      <c r="AA214">
        <f>IF(AND(ISNUMBER(X214), ISNUMBER(MIN(X$2:X$486)), ISNUMBER(MAX(X$2:X$486))), IF(MAX(X$2:X$486)=MIN(X$2:X$486), 50, ROUND((MAX(X$2:X$486)-X214)/(MAX(X$2:X$486)-MIN(X$2:X$486))*100, 2)), "")</f>
        <v/>
      </c>
      <c r="AB214">
        <f>IF(AND(ISNUMBER(U214), ISNUMBER(MIN(U$2:U$486)), ISNUMBER(MAX(U$2:U$486))), IF(MAX(U$2:U$486)=MIN(U$2:U$486), 50, ROUND((U214-MIN(U$2:U$486))/(MAX(U$2:U$486)-MIN(U$2:U$486))*100, 2)), "")</f>
        <v/>
      </c>
      <c r="AC214">
        <f>IF(AND(ISNUMBER(Z214), ISNUMBER(AA214), ISNUMBER(AB214)), ROUND((Z214+AA214+AB214)/3, 2), "")</f>
        <v/>
      </c>
    </row>
    <row r="215">
      <c r="A215" t="n">
        <v>165493199</v>
      </c>
      <c r="B215" t="n">
        <v>1750</v>
      </c>
      <c r="C215" t="inlineStr">
        <is>
          <t>£1,750 pcm</t>
        </is>
      </c>
      <c r="D215" t="inlineStr">
        <is>
          <t>monthly</t>
        </is>
      </c>
      <c r="E215" t="inlineStr">
        <is>
          <t>Flat</t>
        </is>
      </c>
      <c r="F215" t="n">
        <v>2</v>
      </c>
      <c r="G215" t="n">
        <v>1</v>
      </c>
      <c r="H215" t="inlineStr">
        <is>
          <t>Leslie Road, East Finchley, London, N2</t>
        </is>
      </c>
      <c r="I215" t="inlineStr">
        <is>
          <t>A lovely and spacious two double bedroom flat to rent located in the heart of East Finchley a short walk from the shops and underground station. Viewings highly recommended!</t>
        </is>
      </c>
      <c r="J215" t="inlineStr">
        <is>
          <t>https://www.rightmove.co.uk/properties/165493199#/?channel=RES_LET</t>
        </is>
      </c>
      <c r="K215" t="inlineStr">
        <is>
          <t>/property-to-rent/contactBranch.html?propertyId=165493199</t>
        </is>
      </c>
      <c r="L215" t="inlineStr">
        <is>
          <t>Kinleigh Folkard &amp; Hayward - Lettings, Muswell Hill</t>
        </is>
      </c>
      <c r="M215" t="n">
        <v>57961</v>
      </c>
      <c r="N215" t="inlineStr">
        <is>
          <t>Reduced on 09/10/2025</t>
        </is>
      </c>
      <c r="O215" t="inlineStr">
        <is>
          <t>2025-08-07T19:17:19Z</t>
        </is>
      </c>
      <c r="Q215" t="inlineStr">
        <is>
          <t>N2</t>
        </is>
      </c>
      <c r="R215" t="inlineStr">
        <is>
          <t>2025-10-16T17:42:23.093761</t>
        </is>
      </c>
      <c r="S215" t="inlineStr">
        <is>
          <t>{'let available date': 'Now', 'deposit': '£2,019', 'min. tenancy': 'Ask agent', 'let type': 'Long term', 'furnish type': 'Furnished', 'council tax': 'Ask agent'}</t>
        </is>
      </c>
      <c r="V215" t="b">
        <v>1</v>
      </c>
      <c r="X215" t="n">
        <v>11.27</v>
      </c>
      <c r="Y215" t="n">
        <v>40.4</v>
      </c>
      <c r="Z215">
        <f>IF(AND(ISNUMBER(B215), ISNUMBER(MIN(B$2:B$486)), ISNUMBER(MAX(B$2:B$486))), IF(MAX(B$2:B$486)=MIN(B$2:B$486), 50, ROUND((MAX(B$2:B$486)-B215)/(MAX(B$2:B$486)-MIN(B$2:B$486))*100, 2)), "")</f>
        <v/>
      </c>
      <c r="AA215">
        <f>IF(AND(ISNUMBER(X215), ISNUMBER(MIN(X$2:X$486)), ISNUMBER(MAX(X$2:X$486))), IF(MAX(X$2:X$486)=MIN(X$2:X$486), 50, ROUND((MAX(X$2:X$486)-X215)/(MAX(X$2:X$486)-MIN(X$2:X$486))*100, 2)), "")</f>
        <v/>
      </c>
      <c r="AB215">
        <f>IF(AND(ISNUMBER(U215), ISNUMBER(MIN(U$2:U$486)), ISNUMBER(MAX(U$2:U$486))), IF(MAX(U$2:U$486)=MIN(U$2:U$486), 50, ROUND((U215-MIN(U$2:U$486))/(MAX(U$2:U$486)-MIN(U$2:U$486))*100, 2)), "")</f>
        <v/>
      </c>
      <c r="AC215">
        <f>IF(AND(ISNUMBER(Z215), ISNUMBER(AA215), ISNUMBER(AB215)), ROUND((Z215+AA215+AB215)/3, 2), "")</f>
        <v/>
      </c>
    </row>
    <row r="216">
      <c r="A216" t="n">
        <v>167208971</v>
      </c>
      <c r="B216" t="n">
        <v>1750</v>
      </c>
      <c r="C216" t="inlineStr">
        <is>
          <t>£1,750 pcm</t>
        </is>
      </c>
      <c r="D216" t="inlineStr">
        <is>
          <t>monthly</t>
        </is>
      </c>
      <c r="E216" t="inlineStr">
        <is>
          <t>Apartment</t>
        </is>
      </c>
      <c r="F216" t="n">
        <v>2</v>
      </c>
      <c r="G216" t="n">
        <v>1</v>
      </c>
      <c r="H216" t="inlineStr">
        <is>
          <t>Devonshire Road, Palmers Green, London, N13</t>
        </is>
      </c>
      <c r="I216" t="inlineStr">
        <is>
          <t>This charming unfurnished first-floor apartment boasts two bedrooms, making it an ideal space. Located in a sought-after area, this property offers convenience and style in equal measure. The apartment features a spacious living room, perfect for relaxing or entertaining guests, as wel...</t>
        </is>
      </c>
      <c r="J216" t="inlineStr">
        <is>
          <t>https://www.rightmove.co.uk/properties/167208971#/?channel=RES_LET</t>
        </is>
      </c>
      <c r="K216" t="inlineStr">
        <is>
          <t>/property-to-rent/contactBranch.html?propertyId=167208971</t>
        </is>
      </c>
      <c r="L216" t="inlineStr">
        <is>
          <t>Winkworth, Palmers Green</t>
        </is>
      </c>
      <c r="M216" t="n">
        <v>58120</v>
      </c>
      <c r="N216" t="inlineStr">
        <is>
          <t>Reduced on 09/10/2025</t>
        </is>
      </c>
      <c r="O216" t="inlineStr">
        <is>
          <t>2025-09-19T16:53:33Z</t>
        </is>
      </c>
      <c r="Q216" t="inlineStr">
        <is>
          <t>N13</t>
        </is>
      </c>
      <c r="R216" t="inlineStr">
        <is>
          <t>2025-10-16T17:42:23.093764</t>
        </is>
      </c>
      <c r="S216" t="inlineStr">
        <is>
          <t>{'let available date': 'Now', 'deposit': '£2,019', 'min. tenancy': 'Ask agent', 'let type': 'Long term', 'furnish type': 'Ask agent', 'council tax': 'Ask agent'}</t>
        </is>
      </c>
      <c r="V216" t="b">
        <v>1</v>
      </c>
      <c r="X216" t="n">
        <v>18.01</v>
      </c>
      <c r="Y216" t="n">
        <v>52</v>
      </c>
      <c r="Z216">
        <f>IF(AND(ISNUMBER(B216), ISNUMBER(MIN(B$2:B$486)), ISNUMBER(MAX(B$2:B$486))), IF(MAX(B$2:B$486)=MIN(B$2:B$486), 50, ROUND((MAX(B$2:B$486)-B216)/(MAX(B$2:B$486)-MIN(B$2:B$486))*100, 2)), "")</f>
        <v/>
      </c>
      <c r="AA216">
        <f>IF(AND(ISNUMBER(X216), ISNUMBER(MIN(X$2:X$486)), ISNUMBER(MAX(X$2:X$486))), IF(MAX(X$2:X$486)=MIN(X$2:X$486), 50, ROUND((MAX(X$2:X$486)-X216)/(MAX(X$2:X$486)-MIN(X$2:X$486))*100, 2)), "")</f>
        <v/>
      </c>
      <c r="AB216">
        <f>IF(AND(ISNUMBER(U216), ISNUMBER(MIN(U$2:U$486)), ISNUMBER(MAX(U$2:U$486))), IF(MAX(U$2:U$486)=MIN(U$2:U$486), 50, ROUND((U216-MIN(U$2:U$486))/(MAX(U$2:U$486)-MIN(U$2:U$486))*100, 2)), "")</f>
        <v/>
      </c>
      <c r="AC216">
        <f>IF(AND(ISNUMBER(Z216), ISNUMBER(AA216), ISNUMBER(AB216)), ROUND((Z216+AA216+AB216)/3, 2), "")</f>
        <v/>
      </c>
    </row>
    <row r="217">
      <c r="A217" t="n">
        <v>167591729</v>
      </c>
      <c r="B217" t="n">
        <v>380</v>
      </c>
      <c r="C217" t="inlineStr">
        <is>
          <t>£1,647 pcm</t>
        </is>
      </c>
      <c r="D217" t="inlineStr">
        <is>
          <t>weekly</t>
        </is>
      </c>
      <c r="E217" t="inlineStr">
        <is>
          <t>Flat</t>
        </is>
      </c>
      <c r="F217" t="n">
        <v>2</v>
      </c>
      <c r="G217" t="n">
        <v>1</v>
      </c>
      <c r="H217" t="inlineStr">
        <is>
          <t>Hendon Lane, Finchley, N3</t>
        </is>
      </c>
      <c r="I217" t="inlineStr">
        <is>
          <t>A delightful two double bedroom apartment situated only moments to Finchley Central Underground Station. Newly decorated throughout, this bright and airy property benefits from family bathroom, open plan kitchen with integrated white goods, spacious reception and two good sized double bedrooms. ...</t>
        </is>
      </c>
      <c r="J217" t="inlineStr">
        <is>
          <t>https://www.rightmove.co.uk/properties/167591729#/?channel=RES_LET</t>
        </is>
      </c>
      <c r="K217" t="inlineStr">
        <is>
          <t>/property-to-rent/contactBranch.html?propertyId=167591729</t>
        </is>
      </c>
      <c r="L217" t="inlineStr">
        <is>
          <t>Primden Group, Camden</t>
        </is>
      </c>
      <c r="M217" t="n">
        <v>261275</v>
      </c>
      <c r="N217" t="inlineStr">
        <is>
          <t>Reduced on 09/10/2025</t>
        </is>
      </c>
      <c r="O217" t="inlineStr">
        <is>
          <t>2025-09-30T09:46:10Z</t>
        </is>
      </c>
      <c r="Q217" t="inlineStr">
        <is>
          <t>N3</t>
        </is>
      </c>
      <c r="R217" t="inlineStr">
        <is>
          <t>2025-10-16T17:42:23.093767</t>
        </is>
      </c>
      <c r="S217" t="inlineStr">
        <is>
          <t>{'let available date': 'Now', 'deposit': '£1,903', 'min. tenancy': 'Ask agent', 'let type': 'Long term', 'furnish type': 'Furnished', 'council tax': 'Ask agent'}</t>
        </is>
      </c>
      <c r="V217" t="b">
        <v>1</v>
      </c>
      <c r="X217" t="n">
        <v>13.41</v>
      </c>
      <c r="Y217" t="n">
        <v>45.8</v>
      </c>
      <c r="Z217">
        <f>IF(AND(ISNUMBER(B217), ISNUMBER(MIN(B$2:B$486)), ISNUMBER(MAX(B$2:B$486))), IF(MAX(B$2:B$486)=MIN(B$2:B$486), 50, ROUND((MAX(B$2:B$486)-B217)/(MAX(B$2:B$486)-MIN(B$2:B$486))*100, 2)), "")</f>
        <v/>
      </c>
      <c r="AA217">
        <f>IF(AND(ISNUMBER(X217), ISNUMBER(MIN(X$2:X$486)), ISNUMBER(MAX(X$2:X$486))), IF(MAX(X$2:X$486)=MIN(X$2:X$486), 50, ROUND((MAX(X$2:X$486)-X217)/(MAX(X$2:X$486)-MIN(X$2:X$486))*100, 2)), "")</f>
        <v/>
      </c>
      <c r="AB217">
        <f>IF(AND(ISNUMBER(U217), ISNUMBER(MIN(U$2:U$486)), ISNUMBER(MAX(U$2:U$486))), IF(MAX(U$2:U$486)=MIN(U$2:U$486), 50, ROUND((U217-MIN(U$2:U$486))/(MAX(U$2:U$486)-MIN(U$2:U$486))*100, 2)), "")</f>
        <v/>
      </c>
      <c r="AC217">
        <f>IF(AND(ISNUMBER(Z217), ISNUMBER(AA217), ISNUMBER(AB217)), ROUND((Z217+AA217+AB217)/3, 2), "")</f>
        <v/>
      </c>
    </row>
    <row r="218">
      <c r="A218" t="n">
        <v>168256709</v>
      </c>
      <c r="B218" t="n">
        <v>1700</v>
      </c>
      <c r="C218" t="inlineStr">
        <is>
          <t>£1,700 pcm</t>
        </is>
      </c>
      <c r="D218" t="inlineStr">
        <is>
          <t>monthly</t>
        </is>
      </c>
      <c r="E218" t="inlineStr">
        <is>
          <t>Flat</t>
        </is>
      </c>
      <c r="F218" t="n">
        <v>2</v>
      </c>
      <c r="G218" t="n">
        <v>1</v>
      </c>
      <c r="H218" t="inlineStr">
        <is>
          <t>Lee High Road, London, SE13</t>
        </is>
      </c>
      <c r="I218" t="inlineStr">
        <is>
          <t>Two Bedroom Apartment / Balcony / First Floor / Unfurnished / Entry Phone System / Laminated Floor / Neutral Decor / Bright &amp; Light / Market Place / Bus Stops / Lewisham Mainline Station / Docklands Light Railway / Zone Two</t>
        </is>
      </c>
      <c r="J218" t="inlineStr">
        <is>
          <t>https://www.rightmove.co.uk/properties/168256709#/?channel=RES_LET</t>
        </is>
      </c>
      <c r="K218" t="inlineStr">
        <is>
          <t>/property-to-rent/contactBranch.html?propertyId=168256709</t>
        </is>
      </c>
      <c r="L218" t="inlineStr">
        <is>
          <t>Leaders Lettings, Lewisham</t>
        </is>
      </c>
      <c r="M218" t="n">
        <v>37160</v>
      </c>
      <c r="N218" t="inlineStr">
        <is>
          <t>Added on 09/10/2025</t>
        </is>
      </c>
      <c r="O218" t="inlineStr">
        <is>
          <t>2025-10-16T12:38:22Z</t>
        </is>
      </c>
      <c r="Q218" t="inlineStr">
        <is>
          <t>SE13</t>
        </is>
      </c>
      <c r="R218" t="inlineStr">
        <is>
          <t>2025-10-16T17:42:23.093770</t>
        </is>
      </c>
      <c r="S218" t="inlineStr">
        <is>
          <t>{'let available date': '12/12/2025', 'deposit': 'Ask agent', 'min. tenancy': 'Ask agent', 'let type': 'Long term', 'furnish type': 'Unfurnished', 'council tax': 'Ask agent'}</t>
        </is>
      </c>
      <c r="V218" t="b">
        <v>1</v>
      </c>
      <c r="X218" t="n">
        <v>12.97</v>
      </c>
      <c r="Y218" t="n">
        <v>49.8</v>
      </c>
      <c r="Z218">
        <f>IF(AND(ISNUMBER(B218), ISNUMBER(MIN(B$2:B$486)), ISNUMBER(MAX(B$2:B$486))), IF(MAX(B$2:B$486)=MIN(B$2:B$486), 50, ROUND((MAX(B$2:B$486)-B218)/(MAX(B$2:B$486)-MIN(B$2:B$486))*100, 2)), "")</f>
        <v/>
      </c>
      <c r="AA218">
        <f>IF(AND(ISNUMBER(X218), ISNUMBER(MIN(X$2:X$486)), ISNUMBER(MAX(X$2:X$486))), IF(MAX(X$2:X$486)=MIN(X$2:X$486), 50, ROUND((MAX(X$2:X$486)-X218)/(MAX(X$2:X$486)-MIN(X$2:X$486))*100, 2)), "")</f>
        <v/>
      </c>
      <c r="AB218">
        <f>IF(AND(ISNUMBER(U218), ISNUMBER(MIN(U$2:U$486)), ISNUMBER(MAX(U$2:U$486))), IF(MAX(U$2:U$486)=MIN(U$2:U$486), 50, ROUND((U218-MIN(U$2:U$486))/(MAX(U$2:U$486)-MIN(U$2:U$486))*100, 2)), "")</f>
        <v/>
      </c>
      <c r="AC218">
        <f>IF(AND(ISNUMBER(Z218), ISNUMBER(AA218), ISNUMBER(AB218)), ROUND((Z218+AA218+AB218)/3, 2), "")</f>
        <v/>
      </c>
    </row>
    <row r="219">
      <c r="A219" t="n">
        <v>167230052</v>
      </c>
      <c r="B219" t="n">
        <v>1700</v>
      </c>
      <c r="C219" t="inlineStr">
        <is>
          <t>£1,700 pcm</t>
        </is>
      </c>
      <c r="D219" t="inlineStr">
        <is>
          <t>monthly</t>
        </is>
      </c>
      <c r="E219" t="inlineStr">
        <is>
          <t>Apartment</t>
        </is>
      </c>
      <c r="F219" t="n">
        <v>2</v>
      </c>
      <c r="G219" t="n">
        <v>1</v>
      </c>
      <c r="H219" t="inlineStr">
        <is>
          <t>Chase Side, Southgate, London, Greater London, N14</t>
        </is>
      </c>
      <c r="I219" t="inlineStr">
        <is>
          <t>Two double bedroom first floor flat in house conversion. Newly decorated, bright &amp; spacious, 18' kitchen/diner, in a convenient location within walking distance of Southgate Tube Station and own garden. Tenants Requirements: minimum household income £51,000. Available Now.</t>
        </is>
      </c>
      <c r="J219" t="inlineStr">
        <is>
          <t>https://www.rightmove.co.uk/properties/167230052#/?channel=RES_LET</t>
        </is>
      </c>
      <c r="K219" t="inlineStr">
        <is>
          <t>/property-to-rent/contactBranch.html?propertyId=167230052</t>
        </is>
      </c>
      <c r="L219" t="inlineStr">
        <is>
          <t>Atkinsons Residential, The Letting Line</t>
        </is>
      </c>
      <c r="M219" t="n">
        <v>68966</v>
      </c>
      <c r="N219" t="inlineStr">
        <is>
          <t>Reduced on 09/10/2025</t>
        </is>
      </c>
      <c r="O219" t="inlineStr">
        <is>
          <t>2025-09-20T14:36:29Z</t>
        </is>
      </c>
      <c r="Q219" t="inlineStr">
        <is>
          <t>N14</t>
        </is>
      </c>
      <c r="R219" t="inlineStr">
        <is>
          <t>2025-10-16T17:42:23.093773</t>
        </is>
      </c>
      <c r="S219" t="inlineStr">
        <is>
          <t>{'let available date': 'Ask agent', 'deposit': '£1,961', 'min. tenancy': 'Ask agent', 'let type': 'Long term', 'furnish type': 'Unfurnished', 'council tax': 'Ask agent'}</t>
        </is>
      </c>
      <c r="V219" t="b">
        <v>1</v>
      </c>
      <c r="X219" t="n">
        <v>18.48</v>
      </c>
      <c r="Y219" t="n">
        <v>52.1</v>
      </c>
      <c r="Z219">
        <f>IF(AND(ISNUMBER(B219), ISNUMBER(MIN(B$2:B$486)), ISNUMBER(MAX(B$2:B$486))), IF(MAX(B$2:B$486)=MIN(B$2:B$486), 50, ROUND((MAX(B$2:B$486)-B219)/(MAX(B$2:B$486)-MIN(B$2:B$486))*100, 2)), "")</f>
        <v/>
      </c>
      <c r="AA219">
        <f>IF(AND(ISNUMBER(X219), ISNUMBER(MIN(X$2:X$486)), ISNUMBER(MAX(X$2:X$486))), IF(MAX(X$2:X$486)=MIN(X$2:X$486), 50, ROUND((MAX(X$2:X$486)-X219)/(MAX(X$2:X$486)-MIN(X$2:X$486))*100, 2)), "")</f>
        <v/>
      </c>
      <c r="AB219">
        <f>IF(AND(ISNUMBER(U219), ISNUMBER(MIN(U$2:U$486)), ISNUMBER(MAX(U$2:U$486))), IF(MAX(U$2:U$486)=MIN(U$2:U$486), 50, ROUND((U219-MIN(U$2:U$486))/(MAX(U$2:U$486)-MIN(U$2:U$486))*100, 2)), "")</f>
        <v/>
      </c>
      <c r="AC219">
        <f>IF(AND(ISNUMBER(Z219), ISNUMBER(AA219), ISNUMBER(AB219)), ROUND((Z219+AA219+AB219)/3, 2), "")</f>
        <v/>
      </c>
    </row>
    <row r="220">
      <c r="A220" t="n">
        <v>167419508</v>
      </c>
      <c r="B220" t="n">
        <v>1600</v>
      </c>
      <c r="C220" t="inlineStr">
        <is>
          <t>£1,600 pcm</t>
        </is>
      </c>
      <c r="D220" t="inlineStr">
        <is>
          <t>monthly</t>
        </is>
      </c>
      <c r="E220" t="inlineStr">
        <is>
          <t>Flat</t>
        </is>
      </c>
      <c r="F220" t="n">
        <v>2</v>
      </c>
      <c r="G220" t="n">
        <v>1</v>
      </c>
      <c r="H220" t="inlineStr">
        <is>
          <t>Hardcastle Close, CROYDON</t>
        </is>
      </c>
      <c r="I220" t="inlineStr">
        <is>
          <t>*REDECORATED TO GOOD STANDARD* This flat to rent is in a popular cul-de-sac and a great place to live, with parking, peace and quiet call us now...</t>
        </is>
      </c>
      <c r="J220" t="inlineStr">
        <is>
          <t>https://www.rightmove.co.uk/properties/167419508#/?channel=RES_LET</t>
        </is>
      </c>
      <c r="K220" t="inlineStr">
        <is>
          <t>/property-to-rent/contactBranch.html?propertyId=167419508</t>
        </is>
      </c>
      <c r="L220" t="inlineStr">
        <is>
          <t>Barnard Marcus Lettings, Croydon - Lettings</t>
        </is>
      </c>
      <c r="M220" t="n">
        <v>105241</v>
      </c>
      <c r="N220" t="inlineStr">
        <is>
          <t>Reduced on 08/10/2025</t>
        </is>
      </c>
      <c r="O220" t="inlineStr">
        <is>
          <t>2025-09-25T13:14:47Z</t>
        </is>
      </c>
      <c r="R220" t="inlineStr">
        <is>
          <t>2025-10-16T17:42:23.093777</t>
        </is>
      </c>
      <c r="S220" t="inlineStr">
        <is>
          <t>{'let available date': 'Now', 'deposit': '£1,846', 'min. tenancy': '12 months', 'let type': 'Long term', 'furnish type': 'Unfurnished', 'council tax': 'Ask agent'}</t>
        </is>
      </c>
      <c r="V220" t="b">
        <v>1</v>
      </c>
      <c r="X220" t="n">
        <v>18.14</v>
      </c>
      <c r="Y220" t="n">
        <v>56</v>
      </c>
      <c r="Z220">
        <f>IF(AND(ISNUMBER(B220), ISNUMBER(MIN(B$2:B$486)), ISNUMBER(MAX(B$2:B$486))), IF(MAX(B$2:B$486)=MIN(B$2:B$486), 50, ROUND((MAX(B$2:B$486)-B220)/(MAX(B$2:B$486)-MIN(B$2:B$486))*100, 2)), "")</f>
        <v/>
      </c>
      <c r="AA220">
        <f>IF(AND(ISNUMBER(X220), ISNUMBER(MIN(X$2:X$486)), ISNUMBER(MAX(X$2:X$486))), IF(MAX(X$2:X$486)=MIN(X$2:X$486), 50, ROUND((MAX(X$2:X$486)-X220)/(MAX(X$2:X$486)-MIN(X$2:X$486))*100, 2)), "")</f>
        <v/>
      </c>
      <c r="AB220">
        <f>IF(AND(ISNUMBER(U220), ISNUMBER(MIN(U$2:U$486)), ISNUMBER(MAX(U$2:U$486))), IF(MAX(U$2:U$486)=MIN(U$2:U$486), 50, ROUND((U220-MIN(U$2:U$486))/(MAX(U$2:U$486)-MIN(U$2:U$486))*100, 2)), "")</f>
        <v/>
      </c>
      <c r="AC220">
        <f>IF(AND(ISNUMBER(Z220), ISNUMBER(AA220), ISNUMBER(AB220)), ROUND((Z220+AA220+AB220)/3, 2), "")</f>
        <v/>
      </c>
    </row>
    <row r="221">
      <c r="A221" t="n">
        <v>168004232</v>
      </c>
      <c r="B221" t="n">
        <v>1500</v>
      </c>
      <c r="C221" t="inlineStr">
        <is>
          <t>£1,500 pcm</t>
        </is>
      </c>
      <c r="D221" t="inlineStr">
        <is>
          <t>monthly</t>
        </is>
      </c>
      <c r="E221" t="inlineStr">
        <is>
          <t>Flat</t>
        </is>
      </c>
      <c r="F221" t="n">
        <v>2</v>
      </c>
      <c r="G221" t="n">
        <v>1</v>
      </c>
      <c r="H221" t="inlineStr">
        <is>
          <t>Seaford Road, Enfield</t>
        </is>
      </c>
      <c r="I221" t="inlineStr">
        <is>
          <t>Applicant Requirements: We are searching for tenant(s) with a minimum household income of £45,000pa+ - Baker and Chase are delighted to present this newly painted, spacious 2 double bedroom flat to rent just 0.3m from Enfield Town Centre. Located on the 2nd floor (top) of th...</t>
        </is>
      </c>
      <c r="J221" t="inlineStr">
        <is>
          <t>https://www.rightmove.co.uk/properties/168004232#/?channel=RES_LET</t>
        </is>
      </c>
      <c r="K221" t="inlineStr">
        <is>
          <t>/property-to-rent/contactBranch.html?propertyId=168004232</t>
        </is>
      </c>
      <c r="L221" t="inlineStr">
        <is>
          <t>Baker and Chase, London Borough of Enfield</t>
        </is>
      </c>
      <c r="M221" t="n">
        <v>109898</v>
      </c>
      <c r="N221" t="inlineStr">
        <is>
          <t>Added on 08/10/2025</t>
        </is>
      </c>
      <c r="O221" t="inlineStr">
        <is>
          <t>2025-10-08T17:56:00Z</t>
        </is>
      </c>
      <c r="R221" t="inlineStr">
        <is>
          <t>2025-10-16T17:42:24.908518</t>
        </is>
      </c>
      <c r="S221" t="inlineStr">
        <is>
          <t>{'let available date': '18/10/2025', 'deposit': '£1,730', 'min. tenancy': 'Ask agent', 'let type': 'Long term', 'furnish type': 'Part furnished', 'council tax': 'Ask agent'}</t>
        </is>
      </c>
      <c r="T221" t="n">
        <v>632</v>
      </c>
      <c r="U221" t="n">
        <v>59</v>
      </c>
      <c r="V221" t="b">
        <v>1</v>
      </c>
      <c r="X221" t="n">
        <v>19.92</v>
      </c>
      <c r="Y221" t="n">
        <v>59.4</v>
      </c>
      <c r="Z221">
        <f>IF(AND(ISNUMBER(B221), ISNUMBER(MIN(B$2:B$486)), ISNUMBER(MAX(B$2:B$486))), IF(MAX(B$2:B$486)=MIN(B$2:B$486), 50, ROUND((MAX(B$2:B$486)-B221)/(MAX(B$2:B$486)-MIN(B$2:B$486))*100, 2)), "")</f>
        <v/>
      </c>
      <c r="AA221">
        <f>IF(AND(ISNUMBER(X221), ISNUMBER(MIN(X$2:X$486)), ISNUMBER(MAX(X$2:X$486))), IF(MAX(X$2:X$486)=MIN(X$2:X$486), 50, ROUND((MAX(X$2:X$486)-X221)/(MAX(X$2:X$486)-MIN(X$2:X$486))*100, 2)), "")</f>
        <v/>
      </c>
      <c r="AB221">
        <f>IF(AND(ISNUMBER(U221), ISNUMBER(MIN(U$2:U$486)), ISNUMBER(MAX(U$2:U$486))), IF(MAX(U$2:U$486)=MIN(U$2:U$486), 50, ROUND((U221-MIN(U$2:U$486))/(MAX(U$2:U$486)-MIN(U$2:U$486))*100, 2)), "")</f>
        <v/>
      </c>
      <c r="AC221">
        <f>IF(AND(ISNUMBER(Z221), ISNUMBER(AA221), ISNUMBER(AB221)), ROUND((Z221+AA221+AB221)/3, 2), "")</f>
        <v/>
      </c>
    </row>
    <row r="222">
      <c r="A222" t="n">
        <v>168002909</v>
      </c>
      <c r="B222" t="n">
        <v>1750</v>
      </c>
      <c r="C222" t="inlineStr">
        <is>
          <t>£1,750 pcm</t>
        </is>
      </c>
      <c r="D222" t="inlineStr">
        <is>
          <t>monthly</t>
        </is>
      </c>
      <c r="E222" t="inlineStr">
        <is>
          <t>Flat</t>
        </is>
      </c>
      <c r="F222" t="n">
        <v>2</v>
      </c>
      <c r="G222" t="n">
        <v>2</v>
      </c>
      <c r="H222" t="inlineStr">
        <is>
          <t>The Vista Building, SE18</t>
        </is>
      </c>
      <c r="I222" t="inlineStr">
        <is>
          <t>**UNDERGOING REFURBISHMENT** BEAUTIFULLY REFURBISHED TWO BEDROOM APARTMENT - MOMEMNTS FROM WOOLWICH ELIZABETH LINE STATION</t>
        </is>
      </c>
      <c r="J222" t="inlineStr">
        <is>
          <t>https://www.rightmove.co.uk/properties/168002909#/?channel=RES_LET</t>
        </is>
      </c>
      <c r="K222" t="inlineStr">
        <is>
          <t>/property-to-rent/contactBranch.html?propertyId=168002909</t>
        </is>
      </c>
      <c r="L222" t="inlineStr">
        <is>
          <t>Mann Lettings, Woolwich</t>
        </is>
      </c>
      <c r="M222" t="n">
        <v>74383</v>
      </c>
      <c r="N222" t="inlineStr">
        <is>
          <t>Added on 08/10/2025</t>
        </is>
      </c>
      <c r="O222" t="inlineStr">
        <is>
          <t>2025-10-08T17:29:19Z</t>
        </is>
      </c>
      <c r="Q222" t="inlineStr">
        <is>
          <t>SE18</t>
        </is>
      </c>
      <c r="R222" t="inlineStr">
        <is>
          <t>2025-10-16T17:42:24.908522</t>
        </is>
      </c>
      <c r="S222" t="inlineStr">
        <is>
          <t>{'let available date': '27/10/2025', 'deposit': '£2,015', 'min. tenancy': 'Ask agent', 'let type': 'Long term', 'furnish type': 'Unfurnished', 'council tax': 'Ask agent'}</t>
        </is>
      </c>
      <c r="V222" t="b">
        <v>1</v>
      </c>
      <c r="X222" t="n">
        <v>20.83</v>
      </c>
      <c r="Y222" t="n">
        <v>51.8</v>
      </c>
      <c r="Z222">
        <f>IF(AND(ISNUMBER(B222), ISNUMBER(MIN(B$2:B$486)), ISNUMBER(MAX(B$2:B$486))), IF(MAX(B$2:B$486)=MIN(B$2:B$486), 50, ROUND((MAX(B$2:B$486)-B222)/(MAX(B$2:B$486)-MIN(B$2:B$486))*100, 2)), "")</f>
        <v/>
      </c>
      <c r="AA222">
        <f>IF(AND(ISNUMBER(X222), ISNUMBER(MIN(X$2:X$486)), ISNUMBER(MAX(X$2:X$486))), IF(MAX(X$2:X$486)=MIN(X$2:X$486), 50, ROUND((MAX(X$2:X$486)-X222)/(MAX(X$2:X$486)-MIN(X$2:X$486))*100, 2)), "")</f>
        <v/>
      </c>
      <c r="AB222">
        <f>IF(AND(ISNUMBER(U222), ISNUMBER(MIN(U$2:U$486)), ISNUMBER(MAX(U$2:U$486))), IF(MAX(U$2:U$486)=MIN(U$2:U$486), 50, ROUND((U222-MIN(U$2:U$486))/(MAX(U$2:U$486)-MIN(U$2:U$486))*100, 2)), "")</f>
        <v/>
      </c>
      <c r="AC222">
        <f>IF(AND(ISNUMBER(Z222), ISNUMBER(AA222), ISNUMBER(AB222)), ROUND((Z222+AA222+AB222)/3, 2), "")</f>
        <v/>
      </c>
    </row>
    <row r="223">
      <c r="A223" t="n">
        <v>167156078</v>
      </c>
      <c r="B223" t="n">
        <v>1600</v>
      </c>
      <c r="C223" t="inlineStr">
        <is>
          <t>£1,600 pcm</t>
        </is>
      </c>
      <c r="D223" t="inlineStr">
        <is>
          <t>monthly</t>
        </is>
      </c>
      <c r="E223" t="inlineStr">
        <is>
          <t>Apartment</t>
        </is>
      </c>
      <c r="F223" t="n">
        <v>2</v>
      </c>
      <c r="G223" t="n">
        <v>1</v>
      </c>
      <c r="H223" t="inlineStr">
        <is>
          <t>Harlinger Street, London</t>
        </is>
      </c>
      <c r="I223" t="inlineStr">
        <is>
          <t>Well presented 3rd Floor 2 bedroom apartment with stunning views over the River Thames. The property benefits from electric heating, residents parking and entryphone system and is available now.</t>
        </is>
      </c>
      <c r="J223" t="inlineStr">
        <is>
          <t>https://www.rightmove.co.uk/properties/167156078#/?channel=RES_LET</t>
        </is>
      </c>
      <c r="K223" t="inlineStr">
        <is>
          <t>/property-to-rent/contactBranch.html?propertyId=167156078</t>
        </is>
      </c>
      <c r="L223" t="inlineStr">
        <is>
          <t>Able Estates, South East London</t>
        </is>
      </c>
      <c r="M223" t="n">
        <v>8201</v>
      </c>
      <c r="N223" t="inlineStr">
        <is>
          <t>Reduced on 08/10/2025</t>
        </is>
      </c>
      <c r="O223" t="inlineStr">
        <is>
          <t>2025-09-18T15:45:04Z</t>
        </is>
      </c>
      <c r="R223" t="inlineStr">
        <is>
          <t>2025-10-16T17:42:24.908525</t>
        </is>
      </c>
      <c r="S223" t="inlineStr">
        <is>
          <t>{'let available date': 'Now', 'deposit': '£1,846', 'min. tenancy': '12 months', 'let type': 'Long term', 'furnish type': 'Unfurnished', 'council tax': 'Ask agent'}</t>
        </is>
      </c>
      <c r="T223" t="n">
        <v>1496</v>
      </c>
      <c r="U223" t="n">
        <v>139</v>
      </c>
      <c r="V223" t="b">
        <v>1</v>
      </c>
      <c r="X223" t="n">
        <v>17.44</v>
      </c>
      <c r="Y223" t="n">
        <v>48</v>
      </c>
      <c r="Z223">
        <f>IF(AND(ISNUMBER(B223), ISNUMBER(MIN(B$2:B$486)), ISNUMBER(MAX(B$2:B$486))), IF(MAX(B$2:B$486)=MIN(B$2:B$486), 50, ROUND((MAX(B$2:B$486)-B223)/(MAX(B$2:B$486)-MIN(B$2:B$486))*100, 2)), "")</f>
        <v/>
      </c>
      <c r="AA223">
        <f>IF(AND(ISNUMBER(X223), ISNUMBER(MIN(X$2:X$486)), ISNUMBER(MAX(X$2:X$486))), IF(MAX(X$2:X$486)=MIN(X$2:X$486), 50, ROUND((MAX(X$2:X$486)-X223)/(MAX(X$2:X$486)-MIN(X$2:X$486))*100, 2)), "")</f>
        <v/>
      </c>
      <c r="AB223">
        <f>IF(AND(ISNUMBER(U223), ISNUMBER(MIN(U$2:U$486)), ISNUMBER(MAX(U$2:U$486))), IF(MAX(U$2:U$486)=MIN(U$2:U$486), 50, ROUND((U223-MIN(U$2:U$486))/(MAX(U$2:U$486)-MIN(U$2:U$486))*100, 2)), "")</f>
        <v/>
      </c>
      <c r="AC223">
        <f>IF(AND(ISNUMBER(Z223), ISNUMBER(AA223), ISNUMBER(AB223)), ROUND((Z223+AA223+AB223)/3, 2), "")</f>
        <v/>
      </c>
    </row>
    <row r="224">
      <c r="A224" t="n">
        <v>168002252</v>
      </c>
      <c r="B224" t="n">
        <v>1600</v>
      </c>
      <c r="C224" t="inlineStr">
        <is>
          <t>£1,600 pcm</t>
        </is>
      </c>
      <c r="D224" t="inlineStr">
        <is>
          <t>monthly</t>
        </is>
      </c>
      <c r="E224" t="inlineStr">
        <is>
          <t>Flat</t>
        </is>
      </c>
      <c r="F224" t="n">
        <v>2</v>
      </c>
      <c r="G224" t="n">
        <v>1</v>
      </c>
      <c r="H224" t="inlineStr">
        <is>
          <t>Hale Grove Gardens, London, NW7</t>
        </is>
      </c>
      <c r="I224" t="inlineStr">
        <is>
          <t>Presenting this charming, immaculately maintained 2-bedroom flat, residing on the first floor of a share of freehold maisonette in the desirable NW7 area.</t>
        </is>
      </c>
      <c r="J224" t="inlineStr">
        <is>
          <t>https://www.rightmove.co.uk/properties/168002252#/?channel=RES_LET</t>
        </is>
      </c>
      <c r="K224" t="inlineStr">
        <is>
          <t>/property-to-rent/contactBranch.html?propertyId=168002252</t>
        </is>
      </c>
      <c r="L224" t="inlineStr">
        <is>
          <t>Joseph Scott, Edgware</t>
        </is>
      </c>
      <c r="M224" t="n">
        <v>17295</v>
      </c>
      <c r="N224" t="inlineStr">
        <is>
          <t>Added on 08/10/2025</t>
        </is>
      </c>
      <c r="O224" t="inlineStr">
        <is>
          <t>2025-10-08T17:19:59Z</t>
        </is>
      </c>
      <c r="Q224" t="inlineStr">
        <is>
          <t>NW7</t>
        </is>
      </c>
      <c r="R224" t="inlineStr">
        <is>
          <t>2025-10-16T17:42:24.908528</t>
        </is>
      </c>
      <c r="S224" t="inlineStr">
        <is>
          <t>{'let available date': 'Now', 'deposit': '£2,000', 'min. tenancy': '3 months', 'let type': 'Short term', 'furnish type': 'Unfurnished', 'council tax': 'Ask agent'}</t>
        </is>
      </c>
      <c r="T224" t="n">
        <v>441</v>
      </c>
      <c r="U224" t="n">
        <v>41</v>
      </c>
      <c r="V224" t="b">
        <v>1</v>
      </c>
      <c r="X224" t="n">
        <v>17.56</v>
      </c>
      <c r="Y224" t="n">
        <v>49.1</v>
      </c>
      <c r="Z224">
        <f>IF(AND(ISNUMBER(B224), ISNUMBER(MIN(B$2:B$486)), ISNUMBER(MAX(B$2:B$486))), IF(MAX(B$2:B$486)=MIN(B$2:B$486), 50, ROUND((MAX(B$2:B$486)-B224)/(MAX(B$2:B$486)-MIN(B$2:B$486))*100, 2)), "")</f>
        <v/>
      </c>
      <c r="AA224">
        <f>IF(AND(ISNUMBER(X224), ISNUMBER(MIN(X$2:X$486)), ISNUMBER(MAX(X$2:X$486))), IF(MAX(X$2:X$486)=MIN(X$2:X$486), 50, ROUND((MAX(X$2:X$486)-X224)/(MAX(X$2:X$486)-MIN(X$2:X$486))*100, 2)), "")</f>
        <v/>
      </c>
      <c r="AB224">
        <f>IF(AND(ISNUMBER(U224), ISNUMBER(MIN(U$2:U$486)), ISNUMBER(MAX(U$2:U$486))), IF(MAX(U$2:U$486)=MIN(U$2:U$486), 50, ROUND((U224-MIN(U$2:U$486))/(MAX(U$2:U$486)-MIN(U$2:U$486))*100, 2)), "")</f>
        <v/>
      </c>
      <c r="AC224">
        <f>IF(AND(ISNUMBER(Z224), ISNUMBER(AA224), ISNUMBER(AB224)), ROUND((Z224+AA224+AB224)/3, 2), "")</f>
        <v/>
      </c>
    </row>
    <row r="225">
      <c r="A225" t="n">
        <v>168001430</v>
      </c>
      <c r="B225" t="n">
        <v>1700</v>
      </c>
      <c r="C225" t="inlineStr">
        <is>
          <t>£1,700 pcm</t>
        </is>
      </c>
      <c r="D225" t="inlineStr">
        <is>
          <t>monthly</t>
        </is>
      </c>
      <c r="E225" t="inlineStr">
        <is>
          <t>Apartment</t>
        </is>
      </c>
      <c r="F225" t="n">
        <v>2</v>
      </c>
      <c r="H225" t="inlineStr">
        <is>
          <t>Coombe Lane, London, SW20</t>
        </is>
      </c>
      <c r="I225" t="inlineStr">
        <is>
          <t xml:space="preserve">Two bedroom split level flat in a most convenient location above retail premises on Coombe Lane. Recently refurbished with new carpets and still presenting beautifully. The flat offers large bright rooms.The flat presents well and would be ideal for a professional couple as it is within easy reach </t>
        </is>
      </c>
      <c r="J225" t="inlineStr">
        <is>
          <t>https://www.rightmove.co.uk/properties/168001430#/?channel=RES_LET</t>
        </is>
      </c>
      <c r="K225" t="inlineStr">
        <is>
          <t>/property-to-rent/contactBranch.html?propertyId=168001430</t>
        </is>
      </c>
      <c r="L225" t="inlineStr">
        <is>
          <t>Robinsons, Reigate</t>
        </is>
      </c>
      <c r="M225" t="n">
        <v>70633</v>
      </c>
      <c r="N225" t="inlineStr">
        <is>
          <t>Added on 08/10/2025</t>
        </is>
      </c>
      <c r="O225" t="inlineStr">
        <is>
          <t>2025-10-08T17:18:05Z</t>
        </is>
      </c>
      <c r="Q225" t="inlineStr">
        <is>
          <t>SW20</t>
        </is>
      </c>
      <c r="R225" t="inlineStr">
        <is>
          <t>2025-10-16T17:42:24.908530</t>
        </is>
      </c>
      <c r="S225" t="inlineStr">
        <is>
          <t>{'let available date': 'Ask agent', 'deposit': 'Ask agent', 'min. tenancy': 'Ask agent', 'let type': 'Long term', 'furnish type': 'Unfurnished', 'council tax': 'Ask agent'}</t>
        </is>
      </c>
      <c r="V225" t="b">
        <v>1</v>
      </c>
      <c r="X225" t="n">
        <v>16.46</v>
      </c>
      <c r="Y225" t="n">
        <v>55.2</v>
      </c>
      <c r="Z225">
        <f>IF(AND(ISNUMBER(B225), ISNUMBER(MIN(B$2:B$486)), ISNUMBER(MAX(B$2:B$486))), IF(MAX(B$2:B$486)=MIN(B$2:B$486), 50, ROUND((MAX(B$2:B$486)-B225)/(MAX(B$2:B$486)-MIN(B$2:B$486))*100, 2)), "")</f>
        <v/>
      </c>
      <c r="AA225">
        <f>IF(AND(ISNUMBER(X225), ISNUMBER(MIN(X$2:X$486)), ISNUMBER(MAX(X$2:X$486))), IF(MAX(X$2:X$486)=MIN(X$2:X$486), 50, ROUND((MAX(X$2:X$486)-X225)/(MAX(X$2:X$486)-MIN(X$2:X$486))*100, 2)), "")</f>
        <v/>
      </c>
      <c r="AB225">
        <f>IF(AND(ISNUMBER(U225), ISNUMBER(MIN(U$2:U$486)), ISNUMBER(MAX(U$2:U$486))), IF(MAX(U$2:U$486)=MIN(U$2:U$486), 50, ROUND((U225-MIN(U$2:U$486))/(MAX(U$2:U$486)-MIN(U$2:U$486))*100, 2)), "")</f>
        <v/>
      </c>
      <c r="AC225">
        <f>IF(AND(ISNUMBER(Z225), ISNUMBER(AA225), ISNUMBER(AB225)), ROUND((Z225+AA225+AB225)/3, 2), "")</f>
        <v/>
      </c>
    </row>
    <row r="226">
      <c r="A226" t="n">
        <v>168001787</v>
      </c>
      <c r="B226" t="n">
        <v>1600</v>
      </c>
      <c r="C226" t="inlineStr">
        <is>
          <t>£1,600 pcm</t>
        </is>
      </c>
      <c r="D226" t="inlineStr">
        <is>
          <t>monthly</t>
        </is>
      </c>
      <c r="E226" t="inlineStr">
        <is>
          <t>Flat</t>
        </is>
      </c>
      <c r="F226" t="n">
        <v>2</v>
      </c>
      <c r="G226" t="n">
        <v>1</v>
      </c>
      <c r="H226" t="inlineStr">
        <is>
          <t>Hale Grove Gardens, Mill Hill, NW7</t>
        </is>
      </c>
      <c r="I226" t="inlineStr">
        <is>
          <t>Cosway Estates are pleased to offer for rent this lovely two bedroom first floor flat, situated within a stones throw of Mill Hill Broadway. The property's fitted kitchen is open-plan to the living room. There are also two bedrooms and a modern shower room. Additionally, there is an off-street pa...</t>
        </is>
      </c>
      <c r="J226" t="inlineStr">
        <is>
          <t>https://www.rightmove.co.uk/properties/168001787#/?channel=RES_LET</t>
        </is>
      </c>
      <c r="K226" t="inlineStr">
        <is>
          <t>/property-to-rent/contactBranch.html?propertyId=168001787</t>
        </is>
      </c>
      <c r="L226" t="inlineStr">
        <is>
          <t>Cosway Estates, Mill Hill</t>
        </is>
      </c>
      <c r="M226" t="n">
        <v>9970</v>
      </c>
      <c r="N226" t="inlineStr">
        <is>
          <t>Added on 08/10/2025</t>
        </is>
      </c>
      <c r="O226" t="inlineStr">
        <is>
          <t>2025-10-08T17:14:15Z</t>
        </is>
      </c>
      <c r="Q226" t="inlineStr">
        <is>
          <t>NW7</t>
        </is>
      </c>
      <c r="R226" t="inlineStr">
        <is>
          <t>2025-10-16T17:42:24.908533</t>
        </is>
      </c>
      <c r="S226" t="inlineStr">
        <is>
          <t>{'let available date': 'Now', 'deposit': 'Ask agent', 'min. tenancy': 'Ask agent', 'let type': 'Long term', 'furnish type': 'Unfurnished', 'council tax': 'Ask agent'}</t>
        </is>
      </c>
      <c r="V226" t="b">
        <v>1</v>
      </c>
      <c r="X226" t="n">
        <v>17.56</v>
      </c>
      <c r="Y226" t="n">
        <v>49.1</v>
      </c>
      <c r="Z226">
        <f>IF(AND(ISNUMBER(B226), ISNUMBER(MIN(B$2:B$486)), ISNUMBER(MAX(B$2:B$486))), IF(MAX(B$2:B$486)=MIN(B$2:B$486), 50, ROUND((MAX(B$2:B$486)-B226)/(MAX(B$2:B$486)-MIN(B$2:B$486))*100, 2)), "")</f>
        <v/>
      </c>
      <c r="AA226">
        <f>IF(AND(ISNUMBER(X226), ISNUMBER(MIN(X$2:X$486)), ISNUMBER(MAX(X$2:X$486))), IF(MAX(X$2:X$486)=MIN(X$2:X$486), 50, ROUND((MAX(X$2:X$486)-X226)/(MAX(X$2:X$486)-MIN(X$2:X$486))*100, 2)), "")</f>
        <v/>
      </c>
      <c r="AB226">
        <f>IF(AND(ISNUMBER(U226), ISNUMBER(MIN(U$2:U$486)), ISNUMBER(MAX(U$2:U$486))), IF(MAX(U$2:U$486)=MIN(U$2:U$486), 50, ROUND((U226-MIN(U$2:U$486))/(MAX(U$2:U$486)-MIN(U$2:U$486))*100, 2)), "")</f>
        <v/>
      </c>
      <c r="AC226">
        <f>IF(AND(ISNUMBER(Z226), ISNUMBER(AA226), ISNUMBER(AB226)), ROUND((Z226+AA226+AB226)/3, 2), "")</f>
        <v/>
      </c>
    </row>
    <row r="227">
      <c r="A227" t="n">
        <v>168000623</v>
      </c>
      <c r="B227" t="n">
        <v>1525</v>
      </c>
      <c r="C227" t="inlineStr">
        <is>
          <t>£1,525 pcm</t>
        </is>
      </c>
      <c r="D227" t="inlineStr">
        <is>
          <t>monthly</t>
        </is>
      </c>
      <c r="E227" t="inlineStr">
        <is>
          <t>Flat</t>
        </is>
      </c>
      <c r="F227" t="n">
        <v>2</v>
      </c>
      <c r="G227" t="n">
        <v>1</v>
      </c>
      <c r="H227" t="inlineStr">
        <is>
          <t>Ground floor flat, Portland Road, South Norwood</t>
        </is>
      </c>
      <c r="I227" t="inlineStr">
        <is>
          <t xml:space="preserve">Well presented ground floor apartment ideally located just moments from Norwood Junction Station. The property features an open-plan living area with a fully fitted kitchen, a modern bathroom and two comfortable bedrooms. </t>
        </is>
      </c>
      <c r="J227" t="inlineStr">
        <is>
          <t>https://www.rightmove.co.uk/properties/168000623#/?channel=RES_LET</t>
        </is>
      </c>
      <c r="K227" t="inlineStr">
        <is>
          <t>/property-to-rent/contactBranch.html?propertyId=168000623</t>
        </is>
      </c>
      <c r="L227" t="inlineStr">
        <is>
          <t>Expert Property Shop, Worksop</t>
        </is>
      </c>
      <c r="M227" t="n">
        <v>274226</v>
      </c>
      <c r="N227" t="inlineStr">
        <is>
          <t>Added on 08/10/2025</t>
        </is>
      </c>
      <c r="O227" t="inlineStr">
        <is>
          <t>2025-10-08T17:00:10Z</t>
        </is>
      </c>
      <c r="R227" t="inlineStr">
        <is>
          <t>2025-10-16T17:42:24.908535</t>
        </is>
      </c>
      <c r="S227" t="inlineStr">
        <is>
          <t>{'let available date': 'Now', 'deposit': '£1,759', 'min. tenancy': '6 months', 'let type': 'Long term', 'furnish type': 'Unfurnished', 'council tax': 'Ask agent'}</t>
        </is>
      </c>
      <c r="T227" t="n">
        <v>409</v>
      </c>
      <c r="U227" t="n">
        <v>38</v>
      </c>
      <c r="V227" t="b">
        <v>1</v>
      </c>
      <c r="X227" t="n">
        <v>16.89</v>
      </c>
      <c r="Y227" t="n">
        <v>52.6</v>
      </c>
      <c r="Z227">
        <f>IF(AND(ISNUMBER(B227), ISNUMBER(MIN(B$2:B$486)), ISNUMBER(MAX(B$2:B$486))), IF(MAX(B$2:B$486)=MIN(B$2:B$486), 50, ROUND((MAX(B$2:B$486)-B227)/(MAX(B$2:B$486)-MIN(B$2:B$486))*100, 2)), "")</f>
        <v/>
      </c>
      <c r="AA227">
        <f>IF(AND(ISNUMBER(X227), ISNUMBER(MIN(X$2:X$486)), ISNUMBER(MAX(X$2:X$486))), IF(MAX(X$2:X$486)=MIN(X$2:X$486), 50, ROUND((MAX(X$2:X$486)-X227)/(MAX(X$2:X$486)-MIN(X$2:X$486))*100, 2)), "")</f>
        <v/>
      </c>
      <c r="AB227">
        <f>IF(AND(ISNUMBER(U227), ISNUMBER(MIN(U$2:U$486)), ISNUMBER(MAX(U$2:U$486))), IF(MAX(U$2:U$486)=MIN(U$2:U$486), 50, ROUND((U227-MIN(U$2:U$486))/(MAX(U$2:U$486)-MIN(U$2:U$486))*100, 2)), "")</f>
        <v/>
      </c>
      <c r="AC227">
        <f>IF(AND(ISNUMBER(Z227), ISNUMBER(AA227), ISNUMBER(AB227)), ROUND((Z227+AA227+AB227)/3, 2), "")</f>
        <v/>
      </c>
    </row>
    <row r="228">
      <c r="A228" t="n">
        <v>167993921</v>
      </c>
      <c r="B228" t="n">
        <v>1700</v>
      </c>
      <c r="C228" t="inlineStr">
        <is>
          <t>£1,700 pcm</t>
        </is>
      </c>
      <c r="D228" t="inlineStr">
        <is>
          <t>monthly</t>
        </is>
      </c>
      <c r="E228" t="inlineStr">
        <is>
          <t>Maisonette</t>
        </is>
      </c>
      <c r="F228" t="n">
        <v>2</v>
      </c>
      <c r="H228" t="inlineStr">
        <is>
          <t>Grove Avenue, Sutton, London, SM1</t>
        </is>
      </c>
      <c r="I228" t="inlineStr">
        <is>
          <t>Connor Prince are pleased to offer this beautifully presented first floor two double bedroom purpose built maisonette with a 17'4 X 12' lounge, fitted kitchen with appliances and white bathroom suite with separate w.c. Situated in a private gated development with easy access to Cheam Village.</t>
        </is>
      </c>
      <c r="J228" t="inlineStr">
        <is>
          <t>https://www.rightmove.co.uk/properties/167993921#/?channel=RES_LET</t>
        </is>
      </c>
      <c r="K228" t="inlineStr">
        <is>
          <t>/property-to-rent/contactBranch.html?propertyId=167993921</t>
        </is>
      </c>
      <c r="L228" t="inlineStr">
        <is>
          <t>Connor Prince, Worcester Park</t>
        </is>
      </c>
      <c r="M228" t="n">
        <v>23486</v>
      </c>
      <c r="N228" t="inlineStr">
        <is>
          <t>Added on 08/10/2025</t>
        </is>
      </c>
      <c r="O228" t="inlineStr">
        <is>
          <t>2025-10-08T16:07:15Z</t>
        </is>
      </c>
      <c r="Q228" t="inlineStr">
        <is>
          <t>SM1</t>
        </is>
      </c>
      <c r="R228" t="inlineStr">
        <is>
          <t>2025-10-16T17:42:24.908538</t>
        </is>
      </c>
      <c r="S228" t="inlineStr">
        <is>
          <t>{'let available date': 'Now', 'deposit': '£1,960', 'min. tenancy': 'Ask agent', 'let type': 'Long term', 'furnish type': 'Unfurnished', 'council tax': 'Ask agent'}</t>
        </is>
      </c>
      <c r="V228" t="b">
        <v>1</v>
      </c>
      <c r="X228" t="n">
        <v>19.91</v>
      </c>
      <c r="Y228" t="n">
        <v>61.4</v>
      </c>
      <c r="Z228">
        <f>IF(AND(ISNUMBER(B228), ISNUMBER(MIN(B$2:B$486)), ISNUMBER(MAX(B$2:B$486))), IF(MAX(B$2:B$486)=MIN(B$2:B$486), 50, ROUND((MAX(B$2:B$486)-B228)/(MAX(B$2:B$486)-MIN(B$2:B$486))*100, 2)), "")</f>
        <v/>
      </c>
      <c r="AA228">
        <f>IF(AND(ISNUMBER(X228), ISNUMBER(MIN(X$2:X$486)), ISNUMBER(MAX(X$2:X$486))), IF(MAX(X$2:X$486)=MIN(X$2:X$486), 50, ROUND((MAX(X$2:X$486)-X228)/(MAX(X$2:X$486)-MIN(X$2:X$486))*100, 2)), "")</f>
        <v/>
      </c>
      <c r="AB228">
        <f>IF(AND(ISNUMBER(U228), ISNUMBER(MIN(U$2:U$486)), ISNUMBER(MAX(U$2:U$486))), IF(MAX(U$2:U$486)=MIN(U$2:U$486), 50, ROUND((U228-MIN(U$2:U$486))/(MAX(U$2:U$486)-MIN(U$2:U$486))*100, 2)), "")</f>
        <v/>
      </c>
      <c r="AC228">
        <f>IF(AND(ISNUMBER(Z228), ISNUMBER(AA228), ISNUMBER(AB228)), ROUND((Z228+AA228+AB228)/3, 2), "")</f>
        <v/>
      </c>
    </row>
    <row r="229">
      <c r="A229" t="n">
        <v>167994557</v>
      </c>
      <c r="B229" t="n">
        <v>1750</v>
      </c>
      <c r="C229" t="inlineStr">
        <is>
          <t>£1,750 pcm</t>
        </is>
      </c>
      <c r="D229" t="inlineStr">
        <is>
          <t>monthly</t>
        </is>
      </c>
      <c r="E229" t="inlineStr">
        <is>
          <t>Apartment</t>
        </is>
      </c>
      <c r="F229" t="n">
        <v>2</v>
      </c>
      <c r="G229" t="n">
        <v>2</v>
      </c>
      <c r="H229" t="inlineStr">
        <is>
          <t>63 Courthill Road, Lewisham, London, SE13</t>
        </is>
      </c>
      <c r="I229" t="inlineStr">
        <is>
          <t>CHOICES are pleased to bring to the market this 2 Bedroom apartment, located in the area of Lewisham, London. Property comprises of an Open Plan Kitchen/ Living Area, Two Double Bedrooms and Main Bathroom with Bath. Benefits include Gas Central Heating. 10 minute walk to Hit...</t>
        </is>
      </c>
      <c r="J229" t="inlineStr">
        <is>
          <t>https://www.rightmove.co.uk/properties/167994557#/?channel=RES_LET</t>
        </is>
      </c>
      <c r="K229" t="inlineStr">
        <is>
          <t>/property-to-rent/contactBranch.html?propertyId=167994557</t>
        </is>
      </c>
      <c r="L229" t="inlineStr">
        <is>
          <t>Choices Asset Management, Redhill</t>
        </is>
      </c>
      <c r="M229" t="n">
        <v>182333</v>
      </c>
      <c r="N229" t="inlineStr">
        <is>
          <t>Added on 08/10/2025</t>
        </is>
      </c>
      <c r="O229" t="inlineStr">
        <is>
          <t>2025-10-08T15:44:13Z</t>
        </is>
      </c>
      <c r="Q229" t="inlineStr">
        <is>
          <t>SE13</t>
        </is>
      </c>
      <c r="R229" t="inlineStr">
        <is>
          <t>2025-10-16T17:42:24.908541</t>
        </is>
      </c>
      <c r="S229" t="inlineStr">
        <is>
          <t>{'let available date': '24/10/2025', 'deposit': '£1,638', 'min. tenancy': 'Ask agent', 'let type': 'Long term', 'furnish type': 'Unfurnished', 'council tax': 'Ask agent'}</t>
        </is>
      </c>
      <c r="V229" t="b">
        <v>1</v>
      </c>
      <c r="X229" t="n">
        <v>12.97</v>
      </c>
      <c r="Y229" t="n">
        <v>49.8</v>
      </c>
      <c r="Z229">
        <f>IF(AND(ISNUMBER(B229), ISNUMBER(MIN(B$2:B$486)), ISNUMBER(MAX(B$2:B$486))), IF(MAX(B$2:B$486)=MIN(B$2:B$486), 50, ROUND((MAX(B$2:B$486)-B229)/(MAX(B$2:B$486)-MIN(B$2:B$486))*100, 2)), "")</f>
        <v/>
      </c>
      <c r="AA229">
        <f>IF(AND(ISNUMBER(X229), ISNUMBER(MIN(X$2:X$486)), ISNUMBER(MAX(X$2:X$486))), IF(MAX(X$2:X$486)=MIN(X$2:X$486), 50, ROUND((MAX(X$2:X$486)-X229)/(MAX(X$2:X$486)-MIN(X$2:X$486))*100, 2)), "")</f>
        <v/>
      </c>
      <c r="AB229">
        <f>IF(AND(ISNUMBER(U229), ISNUMBER(MIN(U$2:U$486)), ISNUMBER(MAX(U$2:U$486))), IF(MAX(U$2:U$486)=MIN(U$2:U$486), 50, ROUND((U229-MIN(U$2:U$486))/(MAX(U$2:U$486)-MIN(U$2:U$486))*100, 2)), "")</f>
        <v/>
      </c>
      <c r="AC229">
        <f>IF(AND(ISNUMBER(Z229), ISNUMBER(AA229), ISNUMBER(AB229)), ROUND((Z229+AA229+AB229)/3, 2), "")</f>
        <v/>
      </c>
    </row>
    <row r="230">
      <c r="A230" t="n">
        <v>166276505</v>
      </c>
      <c r="B230" t="n">
        <v>1700</v>
      </c>
      <c r="C230" t="inlineStr">
        <is>
          <t>£1,700 pcm</t>
        </is>
      </c>
      <c r="D230" t="inlineStr">
        <is>
          <t>monthly</t>
        </is>
      </c>
      <c r="E230" t="inlineStr">
        <is>
          <t>Flat</t>
        </is>
      </c>
      <c r="F230" t="n">
        <v>2</v>
      </c>
      <c r="G230" t="n">
        <v>2</v>
      </c>
      <c r="H230" t="inlineStr">
        <is>
          <t>Tavernelle House, High Street, Sutton, SM1</t>
        </is>
      </c>
      <c r="I230" t="inlineStr">
        <is>
          <t>Unfurnished two bedroom/two bathroom apartment to rent in Tavernelle House, Sutton, SM1.</t>
        </is>
      </c>
      <c r="J230" t="inlineStr">
        <is>
          <t>https://www.rightmove.co.uk/properties/166276505#/?channel=RES_LET</t>
        </is>
      </c>
      <c r="K230" t="inlineStr">
        <is>
          <t>/property-to-rent/contactBranch.html?propertyId=166276505</t>
        </is>
      </c>
      <c r="L230" t="inlineStr">
        <is>
          <t>Complete Prime Residential Ltd, London</t>
        </is>
      </c>
      <c r="M230" t="n">
        <v>53946</v>
      </c>
      <c r="N230" t="inlineStr">
        <is>
          <t>Reduced on 08/10/2025</t>
        </is>
      </c>
      <c r="O230" t="inlineStr">
        <is>
          <t>2025-08-27T16:46:41Z</t>
        </is>
      </c>
      <c r="Q230" t="inlineStr">
        <is>
          <t>SM1</t>
        </is>
      </c>
      <c r="R230" t="inlineStr">
        <is>
          <t>2025-10-16T17:42:24.908543</t>
        </is>
      </c>
      <c r="S230" t="inlineStr">
        <is>
          <t>{'let available date': 'Now', 'deposit': '£1,962', 'min. tenancy': '12 months', 'let type': 'Long term', 'furnish type': 'Unfurnished', 'council tax': 'Ask agent'}</t>
        </is>
      </c>
      <c r="T230" t="n">
        <v>788</v>
      </c>
      <c r="U230" t="n">
        <v>73</v>
      </c>
      <c r="V230" t="b">
        <v>1</v>
      </c>
      <c r="X230" t="n">
        <v>20.15</v>
      </c>
      <c r="Y230" t="n">
        <v>60.7</v>
      </c>
      <c r="Z230">
        <f>IF(AND(ISNUMBER(B230), ISNUMBER(MIN(B$2:B$486)), ISNUMBER(MAX(B$2:B$486))), IF(MAX(B$2:B$486)=MIN(B$2:B$486), 50, ROUND((MAX(B$2:B$486)-B230)/(MAX(B$2:B$486)-MIN(B$2:B$486))*100, 2)), "")</f>
        <v/>
      </c>
      <c r="AA230">
        <f>IF(AND(ISNUMBER(X230), ISNUMBER(MIN(X$2:X$486)), ISNUMBER(MAX(X$2:X$486))), IF(MAX(X$2:X$486)=MIN(X$2:X$486), 50, ROUND((MAX(X$2:X$486)-X230)/(MAX(X$2:X$486)-MIN(X$2:X$486))*100, 2)), "")</f>
        <v/>
      </c>
      <c r="AB230">
        <f>IF(AND(ISNUMBER(U230), ISNUMBER(MIN(U$2:U$486)), ISNUMBER(MAX(U$2:U$486))), IF(MAX(U$2:U$486)=MIN(U$2:U$486), 50, ROUND((U230-MIN(U$2:U$486))/(MAX(U$2:U$486)-MIN(U$2:U$486))*100, 2)), "")</f>
        <v/>
      </c>
      <c r="AC230">
        <f>IF(AND(ISNUMBER(Z230), ISNUMBER(AA230), ISNUMBER(AB230)), ROUND((Z230+AA230+AB230)/3, 2), "")</f>
        <v/>
      </c>
    </row>
    <row r="231">
      <c r="A231" t="n">
        <v>167986550</v>
      </c>
      <c r="B231" t="n">
        <v>1750</v>
      </c>
      <c r="C231" t="inlineStr">
        <is>
          <t>£1,750 pcm</t>
        </is>
      </c>
      <c r="D231" t="inlineStr">
        <is>
          <t>monthly</t>
        </is>
      </c>
      <c r="E231" t="inlineStr">
        <is>
          <t>Flat</t>
        </is>
      </c>
      <c r="F231" t="n">
        <v>2</v>
      </c>
      <c r="H231" t="inlineStr">
        <is>
          <t>The Ridgeway, London, E4</t>
        </is>
      </c>
      <c r="I231" t="inlineStr">
        <is>
          <t>Discover this beautifully presented 2-bedroom apartment set within the desirable Grant Court development. Perfectly suited for professionals, couples, or small families, this home offers a stylish blend of comfort and convenience in a peaceful residential area.</t>
        </is>
      </c>
      <c r="J231" t="inlineStr">
        <is>
          <t>https://www.rightmove.co.uk/properties/167986550#/?channel=RES_LET</t>
        </is>
      </c>
      <c r="K231" t="inlineStr">
        <is>
          <t>/property-to-rent/contactBranch.html?propertyId=167986550</t>
        </is>
      </c>
      <c r="L231" t="inlineStr">
        <is>
          <t>Amanda Roberts, North Chingford</t>
        </is>
      </c>
      <c r="M231" t="n">
        <v>63076</v>
      </c>
      <c r="N231" t="inlineStr">
        <is>
          <t>Added on 08/10/2025</t>
        </is>
      </c>
      <c r="O231" t="inlineStr">
        <is>
          <t>2025-10-08T14:12:25Z</t>
        </is>
      </c>
      <c r="Q231" t="inlineStr">
        <is>
          <t>E4</t>
        </is>
      </c>
      <c r="R231" t="inlineStr">
        <is>
          <t>2025-10-16T17:42:24.908546</t>
        </is>
      </c>
      <c r="S231" t="inlineStr">
        <is>
          <t>{'let available date': 'Ask agent', 'deposit': 'Ask agent', 'min. tenancy': '12 months', 'let type': 'Long term', 'furnish type': 'Unfurnished', 'council tax': 'Ask agent'}</t>
        </is>
      </c>
      <c r="V231" t="b">
        <v>1</v>
      </c>
      <c r="X231" t="n">
        <v>19.48</v>
      </c>
      <c r="Y231" t="n">
        <v>57.2</v>
      </c>
      <c r="Z231">
        <f>IF(AND(ISNUMBER(B231), ISNUMBER(MIN(B$2:B$486)), ISNUMBER(MAX(B$2:B$486))), IF(MAX(B$2:B$486)=MIN(B$2:B$486), 50, ROUND((MAX(B$2:B$486)-B231)/(MAX(B$2:B$486)-MIN(B$2:B$486))*100, 2)), "")</f>
        <v/>
      </c>
      <c r="AA231">
        <f>IF(AND(ISNUMBER(X231), ISNUMBER(MIN(X$2:X$486)), ISNUMBER(MAX(X$2:X$486))), IF(MAX(X$2:X$486)=MIN(X$2:X$486), 50, ROUND((MAX(X$2:X$486)-X231)/(MAX(X$2:X$486)-MIN(X$2:X$486))*100, 2)), "")</f>
        <v/>
      </c>
      <c r="AB231">
        <f>IF(AND(ISNUMBER(U231), ISNUMBER(MIN(U$2:U$486)), ISNUMBER(MAX(U$2:U$486))), IF(MAX(U$2:U$486)=MIN(U$2:U$486), 50, ROUND((U231-MIN(U$2:U$486))/(MAX(U$2:U$486)-MIN(U$2:U$486))*100, 2)), "")</f>
        <v/>
      </c>
      <c r="AC231">
        <f>IF(AND(ISNUMBER(Z231), ISNUMBER(AA231), ISNUMBER(AB231)), ROUND((Z231+AA231+AB231)/3, 2), "")</f>
        <v/>
      </c>
    </row>
    <row r="232">
      <c r="A232" t="n">
        <v>167426987</v>
      </c>
      <c r="B232" t="n">
        <v>392</v>
      </c>
      <c r="C232" t="inlineStr">
        <is>
          <t>£1,699 pcm</t>
        </is>
      </c>
      <c r="D232" t="inlineStr">
        <is>
          <t>weekly</t>
        </is>
      </c>
      <c r="E232" t="inlineStr">
        <is>
          <t>Apartment</t>
        </is>
      </c>
      <c r="F232" t="n">
        <v>2</v>
      </c>
      <c r="G232" t="n">
        <v>1</v>
      </c>
      <c r="H232" t="inlineStr">
        <is>
          <t>FOREST HILL, LONDON</t>
        </is>
      </c>
      <c r="I232" t="inlineStr">
        <is>
          <t>Large 2 double bedroom purpose built apartment with private balcony close to Forest hill station and direct bus routes to Kings College. Available 18th October. Offered furnished, EPC: C, Council Tax: Lewisham Band C, Holding Fee: 1 Weeks Rent, Damage Deposit: 5 Weeks Rent</t>
        </is>
      </c>
      <c r="J232" t="inlineStr">
        <is>
          <t>https://www.rightmove.co.uk/properties/167426987#/?channel=RES_LET</t>
        </is>
      </c>
      <c r="K232" t="inlineStr">
        <is>
          <t>/property-to-rent/contactBranch.html?propertyId=167426987</t>
        </is>
      </c>
      <c r="L232" t="inlineStr">
        <is>
          <t>Avrasons, London</t>
        </is>
      </c>
      <c r="M232" t="n">
        <v>38414</v>
      </c>
      <c r="N232" t="inlineStr">
        <is>
          <t>Reduced on 08/10/2025</t>
        </is>
      </c>
      <c r="O232" t="inlineStr">
        <is>
          <t>2025-09-25T14:55:04Z</t>
        </is>
      </c>
      <c r="R232" t="inlineStr">
        <is>
          <t>2025-10-16T17:42:24.908548</t>
        </is>
      </c>
      <c r="S232" t="inlineStr">
        <is>
          <t>{'let available date': '18/10/2025', 'deposit': 'Ask agent', 'min. tenancy': 'Ask agent', 'let type': 'Long term', 'furnish type': 'Furnished', 'council tax': 'Ask agent'}</t>
        </is>
      </c>
      <c r="V232" t="b">
        <v>1</v>
      </c>
      <c r="X232" t="n">
        <v>12.8</v>
      </c>
      <c r="Y232" t="n">
        <v>45.9</v>
      </c>
      <c r="Z232">
        <f>IF(AND(ISNUMBER(B232), ISNUMBER(MIN(B$2:B$486)), ISNUMBER(MAX(B$2:B$486))), IF(MAX(B$2:B$486)=MIN(B$2:B$486), 50, ROUND((MAX(B$2:B$486)-B232)/(MAX(B$2:B$486)-MIN(B$2:B$486))*100, 2)), "")</f>
        <v/>
      </c>
      <c r="AA232">
        <f>IF(AND(ISNUMBER(X232), ISNUMBER(MIN(X$2:X$486)), ISNUMBER(MAX(X$2:X$486))), IF(MAX(X$2:X$486)=MIN(X$2:X$486), 50, ROUND((MAX(X$2:X$486)-X232)/(MAX(X$2:X$486)-MIN(X$2:X$486))*100, 2)), "")</f>
        <v/>
      </c>
      <c r="AB232">
        <f>IF(AND(ISNUMBER(U232), ISNUMBER(MIN(U$2:U$486)), ISNUMBER(MAX(U$2:U$486))), IF(MAX(U$2:U$486)=MIN(U$2:U$486), 50, ROUND((U232-MIN(U$2:U$486))/(MAX(U$2:U$486)-MIN(U$2:U$486))*100, 2)), "")</f>
        <v/>
      </c>
      <c r="AC232">
        <f>IF(AND(ISNUMBER(Z232), ISNUMBER(AA232), ISNUMBER(AB232)), ROUND((Z232+AA232+AB232)/3, 2), "")</f>
        <v/>
      </c>
    </row>
    <row r="233">
      <c r="A233" t="n">
        <v>167896913</v>
      </c>
      <c r="B233" t="n">
        <v>1495</v>
      </c>
      <c r="C233" t="inlineStr">
        <is>
          <t>£1,495 pcm</t>
        </is>
      </c>
      <c r="D233" t="inlineStr">
        <is>
          <t>monthly</t>
        </is>
      </c>
      <c r="E233" t="inlineStr">
        <is>
          <t>Flat</t>
        </is>
      </c>
      <c r="F233" t="n">
        <v>2</v>
      </c>
      <c r="G233" t="n">
        <v>1</v>
      </c>
      <c r="H233" t="inlineStr">
        <is>
          <t>Hallswelle Road, London, NW11</t>
        </is>
      </c>
      <c r="I233" t="inlineStr">
        <is>
          <t>Our brand-new two bed room flats are ready to move Our facilities include: WOOD FLOORS GREAT LOCATION NEAR TRANSPORT LINKS large kitchen Beautiful bathroom with bath and toilet Washing machine a... ** Property Reference: 2611446 **</t>
        </is>
      </c>
      <c r="J233" t="inlineStr">
        <is>
          <t>https://www.rightmove.co.uk/properties/167896913#/?channel=RES_LET</t>
        </is>
      </c>
      <c r="K233" t="inlineStr">
        <is>
          <t>/property-to-rent/contactBranch.html?propertyId=167896913</t>
        </is>
      </c>
      <c r="L233" t="inlineStr">
        <is>
          <t>OpenRent, London</t>
        </is>
      </c>
      <c r="M233" t="n">
        <v>96668</v>
      </c>
      <c r="N233" t="inlineStr">
        <is>
          <t>Reduced on 08/10/2025</t>
        </is>
      </c>
      <c r="O233" t="inlineStr">
        <is>
          <t>2025-10-07T10:42:53Z</t>
        </is>
      </c>
      <c r="Q233" t="inlineStr">
        <is>
          <t>NW11</t>
        </is>
      </c>
      <c r="R233" t="inlineStr">
        <is>
          <t>2025-10-16T17:42:24.908551</t>
        </is>
      </c>
      <c r="S233" t="inlineStr">
        <is>
          <t>{'let available date': 'Now', 'deposit': '£1,725', 'min. tenancy': 'Ask agent', 'let type': 'Long term', 'furnish type': 'Furnished or unfurnished, landlord is flexible', 'council tax': 'Ask agent'}</t>
        </is>
      </c>
      <c r="V233" t="b">
        <v>1</v>
      </c>
      <c r="X233" t="n">
        <v>11.12</v>
      </c>
      <c r="Y233" t="n">
        <v>39.2</v>
      </c>
      <c r="Z233">
        <f>IF(AND(ISNUMBER(B233), ISNUMBER(MIN(B$2:B$486)), ISNUMBER(MAX(B$2:B$486))), IF(MAX(B$2:B$486)=MIN(B$2:B$486), 50, ROUND((MAX(B$2:B$486)-B233)/(MAX(B$2:B$486)-MIN(B$2:B$486))*100, 2)), "")</f>
        <v/>
      </c>
      <c r="AA233">
        <f>IF(AND(ISNUMBER(X233), ISNUMBER(MIN(X$2:X$486)), ISNUMBER(MAX(X$2:X$486))), IF(MAX(X$2:X$486)=MIN(X$2:X$486), 50, ROUND((MAX(X$2:X$486)-X233)/(MAX(X$2:X$486)-MIN(X$2:X$486))*100, 2)), "")</f>
        <v/>
      </c>
      <c r="AB233">
        <f>IF(AND(ISNUMBER(U233), ISNUMBER(MIN(U$2:U$486)), ISNUMBER(MAX(U$2:U$486))), IF(MAX(U$2:U$486)=MIN(U$2:U$486), 50, ROUND((U233-MIN(U$2:U$486))/(MAX(U$2:U$486)-MIN(U$2:U$486))*100, 2)), "")</f>
        <v/>
      </c>
      <c r="AC233">
        <f>IF(AND(ISNUMBER(Z233), ISNUMBER(AA233), ISNUMBER(AB233)), ROUND((Z233+AA233+AB233)/3, 2), "")</f>
        <v/>
      </c>
    </row>
    <row r="234">
      <c r="A234" t="n">
        <v>166564775</v>
      </c>
      <c r="B234" t="n">
        <v>1500</v>
      </c>
      <c r="C234" t="inlineStr">
        <is>
          <t>£1,500 pcm</t>
        </is>
      </c>
      <c r="D234" t="inlineStr">
        <is>
          <t>monthly</t>
        </is>
      </c>
      <c r="E234" t="inlineStr">
        <is>
          <t>Flat</t>
        </is>
      </c>
      <c r="F234" t="n">
        <v>2</v>
      </c>
      <c r="G234" t="n">
        <v>1</v>
      </c>
      <c r="H234" t="inlineStr">
        <is>
          <t>Eastgate Close, London, SE28</t>
        </is>
      </c>
      <c r="I234" t="inlineStr">
        <is>
          <t xml:space="preserve">**RECENTLY REDECORATED** A wonderful bright ground floor 2 bedroom property available to rent, located in Bexley in a great location. The property has recently been newly refurbished and consists of a reasonable sized living area, two bedrooms as well as a newly refurbished separate kitchen and </t>
        </is>
      </c>
      <c r="J234" t="inlineStr">
        <is>
          <t>https://www.rightmove.co.uk/properties/166564775#/?channel=RES_LET</t>
        </is>
      </c>
      <c r="K234" t="inlineStr">
        <is>
          <t>/property-to-rent/contactBranch.html?propertyId=166564775</t>
        </is>
      </c>
      <c r="L234" t="inlineStr">
        <is>
          <t>Makeurmove.co.uk, National</t>
        </is>
      </c>
      <c r="M234" t="n">
        <v>61700</v>
      </c>
      <c r="N234" t="inlineStr">
        <is>
          <t>Reduced on 08/10/2025</t>
        </is>
      </c>
      <c r="O234" t="inlineStr">
        <is>
          <t>2025-09-04T08:20:49Z</t>
        </is>
      </c>
      <c r="Q234" t="inlineStr">
        <is>
          <t>SE28</t>
        </is>
      </c>
      <c r="R234" t="inlineStr">
        <is>
          <t>2025-10-16T17:42:24.908553</t>
        </is>
      </c>
      <c r="S234" t="inlineStr">
        <is>
          <t>{'let available date': 'Now', 'deposit': '£1,730', 'min. tenancy': 'Ask agent', 'let type': 'Long term', 'furnish type': 'Unfurnished', 'council tax': 'Ask agent'}</t>
        </is>
      </c>
      <c r="V234" t="b">
        <v>1</v>
      </c>
      <c r="X234" t="n">
        <v>23.84</v>
      </c>
      <c r="Y234" t="n">
        <v>60</v>
      </c>
      <c r="Z234">
        <f>IF(AND(ISNUMBER(B234), ISNUMBER(MIN(B$2:B$486)), ISNUMBER(MAX(B$2:B$486))), IF(MAX(B$2:B$486)=MIN(B$2:B$486), 50, ROUND((MAX(B$2:B$486)-B234)/(MAX(B$2:B$486)-MIN(B$2:B$486))*100, 2)), "")</f>
        <v/>
      </c>
      <c r="AA234">
        <f>IF(AND(ISNUMBER(X234), ISNUMBER(MIN(X$2:X$486)), ISNUMBER(MAX(X$2:X$486))), IF(MAX(X$2:X$486)=MIN(X$2:X$486), 50, ROUND((MAX(X$2:X$486)-X234)/(MAX(X$2:X$486)-MIN(X$2:X$486))*100, 2)), "")</f>
        <v/>
      </c>
      <c r="AB234">
        <f>IF(AND(ISNUMBER(U234), ISNUMBER(MIN(U$2:U$486)), ISNUMBER(MAX(U$2:U$486))), IF(MAX(U$2:U$486)=MIN(U$2:U$486), 50, ROUND((U234-MIN(U$2:U$486))/(MAX(U$2:U$486)-MIN(U$2:U$486))*100, 2)), "")</f>
        <v/>
      </c>
      <c r="AC234">
        <f>IF(AND(ISNUMBER(Z234), ISNUMBER(AA234), ISNUMBER(AB234)), ROUND((Z234+AA234+AB234)/3, 2), "")</f>
        <v/>
      </c>
    </row>
    <row r="235">
      <c r="A235" t="n">
        <v>167981288</v>
      </c>
      <c r="B235" t="n">
        <v>1750</v>
      </c>
      <c r="C235" t="inlineStr">
        <is>
          <t>£1,750 pcm</t>
        </is>
      </c>
      <c r="D235" t="inlineStr">
        <is>
          <t>monthly</t>
        </is>
      </c>
      <c r="E235" t="inlineStr">
        <is>
          <t>Flat</t>
        </is>
      </c>
      <c r="F235" t="n">
        <v>2</v>
      </c>
      <c r="G235" t="n">
        <v>1</v>
      </c>
      <c r="H235" t="inlineStr">
        <is>
          <t>Friern Park, London, N12</t>
        </is>
      </c>
      <c r="I235" t="inlineStr">
        <is>
          <t>fantastic 2 bedroom apartment is set on the ground floor with immediate communal garden and off street parking. Please note this is part furnished The property is set in a fantastic location on... ** Property Reference: 2651798 **</t>
        </is>
      </c>
      <c r="J235" t="inlineStr">
        <is>
          <t>https://www.rightmove.co.uk/properties/167981288#/?channel=RES_LET</t>
        </is>
      </c>
      <c r="K235" t="inlineStr">
        <is>
          <t>/property-to-rent/contactBranch.html?propertyId=167981288</t>
        </is>
      </c>
      <c r="L235" t="inlineStr">
        <is>
          <t>OpenRent, London</t>
        </is>
      </c>
      <c r="M235" t="n">
        <v>96668</v>
      </c>
      <c r="N235" t="inlineStr">
        <is>
          <t>Added on 08/10/2025</t>
        </is>
      </c>
      <c r="O235" t="inlineStr">
        <is>
          <t>2025-10-08T12:45:00Z</t>
        </is>
      </c>
      <c r="Q235" t="inlineStr">
        <is>
          <t>N12</t>
        </is>
      </c>
      <c r="R235" t="inlineStr">
        <is>
          <t>2025-10-16T17:42:24.908555</t>
        </is>
      </c>
      <c r="S235" t="inlineStr">
        <is>
          <t>{'let available date': '01/11/2025', 'deposit': '£2,019', 'min. tenancy': 'Ask agent', 'let type': 'Long term', 'furnish type': 'Furnished', 'council tax': 'Ask agent'}</t>
        </is>
      </c>
      <c r="V235" t="b">
        <v>1</v>
      </c>
      <c r="X235" t="n">
        <v>13.97</v>
      </c>
      <c r="Y235" t="n">
        <v>47.1</v>
      </c>
      <c r="Z235">
        <f>IF(AND(ISNUMBER(B235), ISNUMBER(MIN(B$2:B$486)), ISNUMBER(MAX(B$2:B$486))), IF(MAX(B$2:B$486)=MIN(B$2:B$486), 50, ROUND((MAX(B$2:B$486)-B235)/(MAX(B$2:B$486)-MIN(B$2:B$486))*100, 2)), "")</f>
        <v/>
      </c>
      <c r="AA235">
        <f>IF(AND(ISNUMBER(X235), ISNUMBER(MIN(X$2:X$486)), ISNUMBER(MAX(X$2:X$486))), IF(MAX(X$2:X$486)=MIN(X$2:X$486), 50, ROUND((MAX(X$2:X$486)-X235)/(MAX(X$2:X$486)-MIN(X$2:X$486))*100, 2)), "")</f>
        <v/>
      </c>
      <c r="AB235">
        <f>IF(AND(ISNUMBER(U235), ISNUMBER(MIN(U$2:U$486)), ISNUMBER(MAX(U$2:U$486))), IF(MAX(U$2:U$486)=MIN(U$2:U$486), 50, ROUND((U235-MIN(U$2:U$486))/(MAX(U$2:U$486)-MIN(U$2:U$486))*100, 2)), "")</f>
        <v/>
      </c>
      <c r="AC235">
        <f>IF(AND(ISNUMBER(Z235), ISNUMBER(AA235), ISNUMBER(AB235)), ROUND((Z235+AA235+AB235)/3, 2), "")</f>
        <v/>
      </c>
    </row>
    <row r="236">
      <c r="A236" t="n">
        <v>167980634</v>
      </c>
      <c r="B236" t="n">
        <v>1600</v>
      </c>
      <c r="C236" t="inlineStr">
        <is>
          <t>£1,600 pcm</t>
        </is>
      </c>
      <c r="D236" t="inlineStr">
        <is>
          <t>monthly</t>
        </is>
      </c>
      <c r="E236" t="inlineStr">
        <is>
          <t>Flat</t>
        </is>
      </c>
      <c r="F236" t="n">
        <v>2</v>
      </c>
      <c r="G236" t="n">
        <v>1</v>
      </c>
      <c r="H236" t="inlineStr">
        <is>
          <t>BRUNSWICK AVENUE, LONDON, N11</t>
        </is>
      </c>
      <c r="I236" t="inlineStr">
        <is>
          <t>SORRY, NO FURTHER VIEWING SLOTS ARE AVAILABLE. CALL AFTER 13th FEB FOR UPDATE. Two bedroom (1 double &amp; 1 single) first floor flat with own front entrance. Located close to shops, buses, schools and within a mile of Arnos Grove and New Southgate stations.</t>
        </is>
      </c>
      <c r="J236" t="inlineStr">
        <is>
          <t>https://www.rightmove.co.uk/properties/167980634#/?channel=RES_LET</t>
        </is>
      </c>
      <c r="K236" t="inlineStr">
        <is>
          <t>/property-to-rent/contactBranch.html?propertyId=167980634</t>
        </is>
      </c>
      <c r="L236" t="inlineStr">
        <is>
          <t>Bennett &amp; Hall, London</t>
        </is>
      </c>
      <c r="M236" t="n">
        <v>82444</v>
      </c>
      <c r="N236" t="inlineStr">
        <is>
          <t>Added on 08/10/2025</t>
        </is>
      </c>
      <c r="O236" t="inlineStr">
        <is>
          <t>2025-10-08T12:35:05Z</t>
        </is>
      </c>
      <c r="Q236" t="inlineStr">
        <is>
          <t>N11</t>
        </is>
      </c>
      <c r="R236" t="inlineStr">
        <is>
          <t>2025-10-16T17:42:24.908558</t>
        </is>
      </c>
      <c r="S236" t="inlineStr">
        <is>
          <t>{'let available date': 'Now', 'deposit': 'Ask agent', 'min. tenancy': 'Ask agent', 'let type': 'Long term', 'furnish type': 'Unfurnished', 'council tax': 'Ask agent'}</t>
        </is>
      </c>
      <c r="V236" t="b">
        <v>1</v>
      </c>
      <c r="X236" t="n">
        <v>16.36</v>
      </c>
      <c r="Y236" t="n">
        <v>48.1</v>
      </c>
      <c r="Z236">
        <f>IF(AND(ISNUMBER(B236), ISNUMBER(MIN(B$2:B$486)), ISNUMBER(MAX(B$2:B$486))), IF(MAX(B$2:B$486)=MIN(B$2:B$486), 50, ROUND((MAX(B$2:B$486)-B236)/(MAX(B$2:B$486)-MIN(B$2:B$486))*100, 2)), "")</f>
        <v/>
      </c>
      <c r="AA236">
        <f>IF(AND(ISNUMBER(X236), ISNUMBER(MIN(X$2:X$486)), ISNUMBER(MAX(X$2:X$486))), IF(MAX(X$2:X$486)=MIN(X$2:X$486), 50, ROUND((MAX(X$2:X$486)-X236)/(MAX(X$2:X$486)-MIN(X$2:X$486))*100, 2)), "")</f>
        <v/>
      </c>
      <c r="AB236">
        <f>IF(AND(ISNUMBER(U236), ISNUMBER(MIN(U$2:U$486)), ISNUMBER(MAX(U$2:U$486))), IF(MAX(U$2:U$486)=MIN(U$2:U$486), 50, ROUND((U236-MIN(U$2:U$486))/(MAX(U$2:U$486)-MIN(U$2:U$486))*100, 2)), "")</f>
        <v/>
      </c>
      <c r="AC236">
        <f>IF(AND(ISNUMBER(Z236), ISNUMBER(AA236), ISNUMBER(AB236)), ROUND((Z236+AA236+AB236)/3, 2), "")</f>
        <v/>
      </c>
    </row>
    <row r="237">
      <c r="A237" t="n">
        <v>164935571</v>
      </c>
      <c r="B237" t="n">
        <v>1575</v>
      </c>
      <c r="C237" t="inlineStr">
        <is>
          <t>£1,575 pcm</t>
        </is>
      </c>
      <c r="D237" t="inlineStr">
        <is>
          <t>monthly</t>
        </is>
      </c>
      <c r="E237" t="inlineStr">
        <is>
          <t>Flat</t>
        </is>
      </c>
      <c r="F237" t="n">
        <v>2</v>
      </c>
      <c r="G237" t="n">
        <v>1</v>
      </c>
      <c r="H237" t="inlineStr">
        <is>
          <t>Whitehorse Lane, LONDON, SE25</t>
        </is>
      </c>
      <c r="I237" t="inlineStr">
        <is>
          <t>This unfurnished ground floor flat offers a practical living space with two bedrooms, one bathroom, and a reception room. Located on Whitehorse Lane, London, the property provides a straightforward layout suitable for various living arrangements. The flat includes a kitchen and is positioned in a...</t>
        </is>
      </c>
      <c r="J237" t="inlineStr">
        <is>
          <t>https://www.rightmove.co.uk/properties/164935571#/?channel=RES_LET</t>
        </is>
      </c>
      <c r="K237" t="inlineStr">
        <is>
          <t>/property-to-rent/contactBranch.html?propertyId=164935571</t>
        </is>
      </c>
      <c r="L237" t="inlineStr">
        <is>
          <t>Bumblebee, London</t>
        </is>
      </c>
      <c r="M237" t="n">
        <v>192527</v>
      </c>
      <c r="N237" t="inlineStr">
        <is>
          <t>Reduced on 08/10/2025</t>
        </is>
      </c>
      <c r="O237" t="inlineStr">
        <is>
          <t>2025-07-25T09:52:46Z</t>
        </is>
      </c>
      <c r="Q237" t="inlineStr">
        <is>
          <t>SE25</t>
        </is>
      </c>
      <c r="R237" t="inlineStr">
        <is>
          <t>2025-10-16T17:42:24.908560</t>
        </is>
      </c>
      <c r="S237" t="inlineStr">
        <is>
          <t>{'let available date': 'Now', 'deposit': '£1,817', 'min. tenancy': 'Ask agent', 'let type': 'Long term', 'furnish type': 'Unfurnished', 'council tax': 'Ask agent'}</t>
        </is>
      </c>
      <c r="V237" t="b">
        <v>1</v>
      </c>
      <c r="X237" t="n">
        <v>16.69</v>
      </c>
      <c r="Y237" t="n">
        <v>52.9</v>
      </c>
      <c r="Z237">
        <f>IF(AND(ISNUMBER(B237), ISNUMBER(MIN(B$2:B$486)), ISNUMBER(MAX(B$2:B$486))), IF(MAX(B$2:B$486)=MIN(B$2:B$486), 50, ROUND((MAX(B$2:B$486)-B237)/(MAX(B$2:B$486)-MIN(B$2:B$486))*100, 2)), "")</f>
        <v/>
      </c>
      <c r="AA237">
        <f>IF(AND(ISNUMBER(X237), ISNUMBER(MIN(X$2:X$486)), ISNUMBER(MAX(X$2:X$486))), IF(MAX(X$2:X$486)=MIN(X$2:X$486), 50, ROUND((MAX(X$2:X$486)-X237)/(MAX(X$2:X$486)-MIN(X$2:X$486))*100, 2)), "")</f>
        <v/>
      </c>
      <c r="AB237">
        <f>IF(AND(ISNUMBER(U237), ISNUMBER(MIN(U$2:U$486)), ISNUMBER(MAX(U$2:U$486))), IF(MAX(U$2:U$486)=MIN(U$2:U$486), 50, ROUND((U237-MIN(U$2:U$486))/(MAX(U$2:U$486)-MIN(U$2:U$486))*100, 2)), "")</f>
        <v/>
      </c>
      <c r="AC237">
        <f>IF(AND(ISNUMBER(Z237), ISNUMBER(AA237), ISNUMBER(AB237)), ROUND((Z237+AA237+AB237)/3, 2), "")</f>
        <v/>
      </c>
    </row>
    <row r="238">
      <c r="A238" t="n">
        <v>159902261</v>
      </c>
      <c r="B238" t="n">
        <v>1550</v>
      </c>
      <c r="C238" t="inlineStr">
        <is>
          <t>£1,550 pcm</t>
        </is>
      </c>
      <c r="D238" t="inlineStr">
        <is>
          <t>monthly</t>
        </is>
      </c>
      <c r="E238" t="inlineStr">
        <is>
          <t>Flat</t>
        </is>
      </c>
      <c r="F238" t="n">
        <v>2</v>
      </c>
      <c r="G238" t="n">
        <v>1</v>
      </c>
      <c r="H238" t="inlineStr">
        <is>
          <t>Whitehorse Lane, London , SE25</t>
        </is>
      </c>
      <c r="I238" t="inlineStr">
        <is>
          <t>This part-furnished first floor flat offers a comfortable living space with two bedrooms, one bathroom, and a reception room. Located on Whitehorse Lane in London, the property features a well-equipped kitchen and a functional layout. The flat is ideal for those seeking a convenient and practical...</t>
        </is>
      </c>
      <c r="J238" t="inlineStr">
        <is>
          <t>https://www.rightmove.co.uk/properties/159902261#/?channel=RES_LET</t>
        </is>
      </c>
      <c r="K238" t="inlineStr">
        <is>
          <t>/property-to-rent/contactBranch.html?propertyId=159902261</t>
        </is>
      </c>
      <c r="L238" t="inlineStr">
        <is>
          <t>Bumblebee, London</t>
        </is>
      </c>
      <c r="M238" t="n">
        <v>192527</v>
      </c>
      <c r="N238" t="inlineStr">
        <is>
          <t>Reduced on 08/10/2025</t>
        </is>
      </c>
      <c r="O238" t="inlineStr">
        <is>
          <t>2025-03-27T14:32:01Z</t>
        </is>
      </c>
      <c r="Q238" t="inlineStr">
        <is>
          <t>SE25</t>
        </is>
      </c>
      <c r="R238" t="inlineStr">
        <is>
          <t>2025-10-16T17:42:24.908563</t>
        </is>
      </c>
      <c r="S238" t="inlineStr">
        <is>
          <t>{'let available date': 'Now', 'deposit': '£1,788', 'min. tenancy': 'Ask agent', 'let type': 'Long term', 'furnish type': 'Part furnished', 'council tax': 'Ask agent'}</t>
        </is>
      </c>
      <c r="V238" t="b">
        <v>1</v>
      </c>
      <c r="X238" t="n">
        <v>16.69</v>
      </c>
      <c r="Y238" t="n">
        <v>52.9</v>
      </c>
      <c r="Z238">
        <f>IF(AND(ISNUMBER(B238), ISNUMBER(MIN(B$2:B$486)), ISNUMBER(MAX(B$2:B$486))), IF(MAX(B$2:B$486)=MIN(B$2:B$486), 50, ROUND((MAX(B$2:B$486)-B238)/(MAX(B$2:B$486)-MIN(B$2:B$486))*100, 2)), "")</f>
        <v/>
      </c>
      <c r="AA238">
        <f>IF(AND(ISNUMBER(X238), ISNUMBER(MIN(X$2:X$486)), ISNUMBER(MAX(X$2:X$486))), IF(MAX(X$2:X$486)=MIN(X$2:X$486), 50, ROUND((MAX(X$2:X$486)-X238)/(MAX(X$2:X$486)-MIN(X$2:X$486))*100, 2)), "")</f>
        <v/>
      </c>
      <c r="AB238">
        <f>IF(AND(ISNUMBER(U238), ISNUMBER(MIN(U$2:U$486)), ISNUMBER(MAX(U$2:U$486))), IF(MAX(U$2:U$486)=MIN(U$2:U$486), 50, ROUND((U238-MIN(U$2:U$486))/(MAX(U$2:U$486)-MIN(U$2:U$486))*100, 2)), "")</f>
        <v/>
      </c>
      <c r="AC238">
        <f>IF(AND(ISNUMBER(Z238), ISNUMBER(AA238), ISNUMBER(AB238)), ROUND((Z238+AA238+AB238)/3, 2), "")</f>
        <v/>
      </c>
    </row>
    <row r="239">
      <c r="A239" t="n">
        <v>167080727</v>
      </c>
      <c r="B239" t="n">
        <v>1640</v>
      </c>
      <c r="C239" t="inlineStr">
        <is>
          <t>£1,640 pcm</t>
        </is>
      </c>
      <c r="D239" t="inlineStr">
        <is>
          <t>monthly</t>
        </is>
      </c>
      <c r="E239" t="inlineStr">
        <is>
          <t>Flat</t>
        </is>
      </c>
      <c r="F239" t="n">
        <v>2</v>
      </c>
      <c r="G239" t="n">
        <v>1</v>
      </c>
      <c r="H239" t="inlineStr">
        <is>
          <t>High Road, Willesden Green NW10</t>
        </is>
      </c>
      <c r="I239" t="inlineStr">
        <is>
          <t>**Available December** Black Katz are proud to present this recently renovated two bedroom apartment in Dollis Hill. The property is well decorated and boasts double glazed windows and wood flooring throughout. Dollis Hill tube station (Jubilee line) provides the closet transport links ...</t>
        </is>
      </c>
      <c r="J239" t="inlineStr">
        <is>
          <t>https://www.rightmove.co.uk/properties/167080727#/?channel=RES_LET</t>
        </is>
      </c>
      <c r="K239" t="inlineStr">
        <is>
          <t>/property-to-rent/contactBranch.html?propertyId=167080727</t>
        </is>
      </c>
      <c r="L239" t="inlineStr">
        <is>
          <t>Black Katz, West Hampstead</t>
        </is>
      </c>
      <c r="M239" t="n">
        <v>32793</v>
      </c>
      <c r="N239" t="inlineStr">
        <is>
          <t>Reduced on 08/10/2025</t>
        </is>
      </c>
      <c r="O239" t="inlineStr">
        <is>
          <t>2025-09-17T10:04:02Z</t>
        </is>
      </c>
      <c r="Q239" t="inlineStr">
        <is>
          <t>NW10</t>
        </is>
      </c>
      <c r="R239" t="inlineStr">
        <is>
          <t>2025-10-16T17:42:24.908565</t>
        </is>
      </c>
      <c r="S239" t="inlineStr">
        <is>
          <t>{'let available date': '02/12/2025', 'deposit': 'Ask agent', 'min. tenancy': 'Ask agent', 'let type': 'Long term', 'furnish type': 'Furnished', 'council tax': 'Ask agent'}</t>
        </is>
      </c>
      <c r="V239" t="b">
        <v>1</v>
      </c>
      <c r="X239" t="n">
        <v>12.4</v>
      </c>
      <c r="Y239" t="n">
        <v>41.1</v>
      </c>
      <c r="Z239">
        <f>IF(AND(ISNUMBER(B239), ISNUMBER(MIN(B$2:B$486)), ISNUMBER(MAX(B$2:B$486))), IF(MAX(B$2:B$486)=MIN(B$2:B$486), 50, ROUND((MAX(B$2:B$486)-B239)/(MAX(B$2:B$486)-MIN(B$2:B$486))*100, 2)), "")</f>
        <v/>
      </c>
      <c r="AA239">
        <f>IF(AND(ISNUMBER(X239), ISNUMBER(MIN(X$2:X$486)), ISNUMBER(MAX(X$2:X$486))), IF(MAX(X$2:X$486)=MIN(X$2:X$486), 50, ROUND((MAX(X$2:X$486)-X239)/(MAX(X$2:X$486)-MIN(X$2:X$486))*100, 2)), "")</f>
        <v/>
      </c>
      <c r="AB239">
        <f>IF(AND(ISNUMBER(U239), ISNUMBER(MIN(U$2:U$486)), ISNUMBER(MAX(U$2:U$486))), IF(MAX(U$2:U$486)=MIN(U$2:U$486), 50, ROUND((U239-MIN(U$2:U$486))/(MAX(U$2:U$486)-MIN(U$2:U$486))*100, 2)), "")</f>
        <v/>
      </c>
      <c r="AC239">
        <f>IF(AND(ISNUMBER(Z239), ISNUMBER(AA239), ISNUMBER(AB239)), ROUND((Z239+AA239+AB239)/3, 2), "")</f>
        <v/>
      </c>
    </row>
    <row r="240">
      <c r="A240" t="n">
        <v>167976599</v>
      </c>
      <c r="B240" t="n">
        <v>1700</v>
      </c>
      <c r="C240" t="inlineStr">
        <is>
          <t>£1,700 pcm</t>
        </is>
      </c>
      <c r="D240" t="inlineStr">
        <is>
          <t>monthly</t>
        </is>
      </c>
      <c r="E240" t="inlineStr">
        <is>
          <t>Apartment</t>
        </is>
      </c>
      <c r="F240" t="n">
        <v>2</v>
      </c>
      <c r="G240" t="n">
        <v>1</v>
      </c>
      <c r="H240" t="inlineStr">
        <is>
          <t>Robin Hood Lane, Sutton</t>
        </is>
      </c>
      <c r="I240" t="inlineStr">
        <is>
          <t>Nestled in the charming area of Robin Hood Lane, Sutton, this delightful purpose-built flat offers a perfect blend of comfort and convenience. With two well-proportioned bedrooms, this property is ideal for small families, couples, or individuals seeking a peaceful retreat in a vibrant community....</t>
        </is>
      </c>
      <c r="J240" t="inlineStr">
        <is>
          <t>https://www.rightmove.co.uk/properties/167976599#/?channel=RES_LET</t>
        </is>
      </c>
      <c r="K240" t="inlineStr">
        <is>
          <t>/property-to-rent/contactBranch.html?propertyId=167976599</t>
        </is>
      </c>
      <c r="L240" t="inlineStr">
        <is>
          <t>Butlers, Sutton</t>
        </is>
      </c>
      <c r="M240" t="n">
        <v>237677</v>
      </c>
      <c r="N240" t="inlineStr">
        <is>
          <t>Added on 08/10/2025</t>
        </is>
      </c>
      <c r="O240" t="inlineStr">
        <is>
          <t>2025-10-08T11:37:41Z</t>
        </is>
      </c>
      <c r="R240" t="inlineStr">
        <is>
          <t>2025-10-16T17:42:24.908568</t>
        </is>
      </c>
      <c r="S240" t="inlineStr">
        <is>
          <t>{'let available date': 'Now', 'deposit': '£1,961', 'min. tenancy': 'Ask agent', 'let type': 'Long term', 'furnish type': 'Unfurnished', 'council tax': 'Ask agent'}</t>
        </is>
      </c>
      <c r="T240" t="n">
        <v>598</v>
      </c>
      <c r="U240" t="n">
        <v>56</v>
      </c>
      <c r="V240" t="b">
        <v>1</v>
      </c>
      <c r="X240" t="n">
        <v>20.98</v>
      </c>
      <c r="Y240" t="n">
        <v>63.4</v>
      </c>
      <c r="Z240">
        <f>IF(AND(ISNUMBER(B240), ISNUMBER(MIN(B$2:B$486)), ISNUMBER(MAX(B$2:B$486))), IF(MAX(B$2:B$486)=MIN(B$2:B$486), 50, ROUND((MAX(B$2:B$486)-B240)/(MAX(B$2:B$486)-MIN(B$2:B$486))*100, 2)), "")</f>
        <v/>
      </c>
      <c r="AA240">
        <f>IF(AND(ISNUMBER(X240), ISNUMBER(MIN(X$2:X$486)), ISNUMBER(MAX(X$2:X$486))), IF(MAX(X$2:X$486)=MIN(X$2:X$486), 50, ROUND((MAX(X$2:X$486)-X240)/(MAX(X$2:X$486)-MIN(X$2:X$486))*100, 2)), "")</f>
        <v/>
      </c>
      <c r="AB240">
        <f>IF(AND(ISNUMBER(U240), ISNUMBER(MIN(U$2:U$486)), ISNUMBER(MAX(U$2:U$486))), IF(MAX(U$2:U$486)=MIN(U$2:U$486), 50, ROUND((U240-MIN(U$2:U$486))/(MAX(U$2:U$486)-MIN(U$2:U$486))*100, 2)), "")</f>
        <v/>
      </c>
      <c r="AC240">
        <f>IF(AND(ISNUMBER(Z240), ISNUMBER(AA240), ISNUMBER(AB240)), ROUND((Z240+AA240+AB240)/3, 2), "")</f>
        <v/>
      </c>
    </row>
    <row r="241">
      <c r="A241" t="n">
        <v>167975114</v>
      </c>
      <c r="B241" t="n">
        <v>1750</v>
      </c>
      <c r="C241" t="inlineStr">
        <is>
          <t>£1,750 pcm</t>
        </is>
      </c>
      <c r="D241" t="inlineStr">
        <is>
          <t>monthly</t>
        </is>
      </c>
      <c r="E241" t="inlineStr">
        <is>
          <t>Flat</t>
        </is>
      </c>
      <c r="F241" t="n">
        <v>2</v>
      </c>
      <c r="G241" t="n">
        <v>1</v>
      </c>
      <c r="H241" t="inlineStr">
        <is>
          <t>Stondon Park, London, SE23</t>
        </is>
      </c>
      <c r="I241" t="inlineStr">
        <is>
          <t>Beautifully presented 2-bed split-level flat on Stondon Park Rd, SE23. Generous living space, period charm with modern finishes. 2 bedrooms, bright living room, split-level layout, great transport links. Ideal for professionals or small families. Now available for rent.</t>
        </is>
      </c>
      <c r="J241" t="inlineStr">
        <is>
          <t>https://www.rightmove.co.uk/properties/167975114#/?channel=RES_LET</t>
        </is>
      </c>
      <c r="K241" t="inlineStr">
        <is>
          <t>/property-to-rent/contactBranch.html?propertyId=167975114</t>
        </is>
      </c>
      <c r="L241" t="inlineStr">
        <is>
          <t>Jo &amp; Co Property Management, London</t>
        </is>
      </c>
      <c r="M241" t="n">
        <v>283895</v>
      </c>
      <c r="N241" t="inlineStr">
        <is>
          <t>Added on 08/10/2025</t>
        </is>
      </c>
      <c r="O241" t="inlineStr">
        <is>
          <t>2025-10-08T11:19:11Z</t>
        </is>
      </c>
      <c r="Q241" t="inlineStr">
        <is>
          <t>SE23</t>
        </is>
      </c>
      <c r="R241" t="inlineStr">
        <is>
          <t>2025-10-16T17:42:24.908570</t>
        </is>
      </c>
      <c r="S241" t="inlineStr">
        <is>
          <t>{'let available date': '30/11/2025', 'deposit': '£2,019', 'min. tenancy': '12 months', 'let type': 'Long term', 'furnish type': 'Unfurnished', 'council tax': 'Ask agent'}</t>
        </is>
      </c>
      <c r="V241" t="b">
        <v>1</v>
      </c>
      <c r="X241" t="n">
        <v>13.45</v>
      </c>
      <c r="Y241" t="n">
        <v>47.9</v>
      </c>
      <c r="Z241">
        <f>IF(AND(ISNUMBER(B241), ISNUMBER(MIN(B$2:B$486)), ISNUMBER(MAX(B$2:B$486))), IF(MAX(B$2:B$486)=MIN(B$2:B$486), 50, ROUND((MAX(B$2:B$486)-B241)/(MAX(B$2:B$486)-MIN(B$2:B$486))*100, 2)), "")</f>
        <v/>
      </c>
      <c r="AA241">
        <f>IF(AND(ISNUMBER(X241), ISNUMBER(MIN(X$2:X$486)), ISNUMBER(MAX(X$2:X$486))), IF(MAX(X$2:X$486)=MIN(X$2:X$486), 50, ROUND((MAX(X$2:X$486)-X241)/(MAX(X$2:X$486)-MIN(X$2:X$486))*100, 2)), "")</f>
        <v/>
      </c>
      <c r="AB241">
        <f>IF(AND(ISNUMBER(U241), ISNUMBER(MIN(U$2:U$486)), ISNUMBER(MAX(U$2:U$486))), IF(MAX(U$2:U$486)=MIN(U$2:U$486), 50, ROUND((U241-MIN(U$2:U$486))/(MAX(U$2:U$486)-MIN(U$2:U$486))*100, 2)), "")</f>
        <v/>
      </c>
      <c r="AC241">
        <f>IF(AND(ISNUMBER(Z241), ISNUMBER(AA241), ISNUMBER(AB241)), ROUND((Z241+AA241+AB241)/3, 2), "")</f>
        <v/>
      </c>
    </row>
    <row r="242">
      <c r="A242" t="n">
        <v>167973968</v>
      </c>
      <c r="B242" t="n">
        <v>1600</v>
      </c>
      <c r="C242" t="inlineStr">
        <is>
          <t>£1,600 pcm</t>
        </is>
      </c>
      <c r="D242" t="inlineStr">
        <is>
          <t>monthly</t>
        </is>
      </c>
      <c r="E242" t="inlineStr">
        <is>
          <t>Flat</t>
        </is>
      </c>
      <c r="F242" t="n">
        <v>2</v>
      </c>
      <c r="G242" t="n">
        <v>1</v>
      </c>
      <c r="H242" t="inlineStr">
        <is>
          <t>Marvels Lane, London, SE12</t>
        </is>
      </c>
      <c r="I242" t="inlineStr">
        <is>
          <t>Available immediately is this beautifully maintained ground floor, two bedroom garden flat. The property has been lovingly cared for by the owner occupier, meaning the flat is of a higher standar... ** Property Reference: 2649080 **</t>
        </is>
      </c>
      <c r="J242" t="inlineStr">
        <is>
          <t>https://www.rightmove.co.uk/properties/167973968#/?channel=RES_LET</t>
        </is>
      </c>
      <c r="K242" t="inlineStr">
        <is>
          <t>/property-to-rent/contactBranch.html?propertyId=167973968</t>
        </is>
      </c>
      <c r="L242" t="inlineStr">
        <is>
          <t>OpenRent, London</t>
        </is>
      </c>
      <c r="M242" t="n">
        <v>96668</v>
      </c>
      <c r="N242" t="inlineStr">
        <is>
          <t>Added on 08/10/2025</t>
        </is>
      </c>
      <c r="O242" t="inlineStr">
        <is>
          <t>2025-10-08T11:03:57Z</t>
        </is>
      </c>
      <c r="Q242" t="inlineStr">
        <is>
          <t>SE12</t>
        </is>
      </c>
      <c r="R242" t="inlineStr">
        <is>
          <t>2025-10-16T17:42:24.908573</t>
        </is>
      </c>
      <c r="S242" t="inlineStr">
        <is>
          <t>{'let available date': 'Now', 'deposit': '£1,846', 'min. tenancy': 'Ask agent', 'let type': 'Long term', 'furnish type': 'Unfurnished', 'council tax': 'Ask agent'}</t>
        </is>
      </c>
      <c r="V242" t="b">
        <v>1</v>
      </c>
      <c r="X242" t="n">
        <v>21.38</v>
      </c>
      <c r="Y242" t="n">
        <v>49.5</v>
      </c>
      <c r="Z242">
        <f>IF(AND(ISNUMBER(B242), ISNUMBER(MIN(B$2:B$486)), ISNUMBER(MAX(B$2:B$486))), IF(MAX(B$2:B$486)=MIN(B$2:B$486), 50, ROUND((MAX(B$2:B$486)-B242)/(MAX(B$2:B$486)-MIN(B$2:B$486))*100, 2)), "")</f>
        <v/>
      </c>
      <c r="AA242">
        <f>IF(AND(ISNUMBER(X242), ISNUMBER(MIN(X$2:X$486)), ISNUMBER(MAX(X$2:X$486))), IF(MAX(X$2:X$486)=MIN(X$2:X$486), 50, ROUND((MAX(X$2:X$486)-X242)/(MAX(X$2:X$486)-MIN(X$2:X$486))*100, 2)), "")</f>
        <v/>
      </c>
      <c r="AB242">
        <f>IF(AND(ISNUMBER(U242), ISNUMBER(MIN(U$2:U$486)), ISNUMBER(MAX(U$2:U$486))), IF(MAX(U$2:U$486)=MIN(U$2:U$486), 50, ROUND((U242-MIN(U$2:U$486))/(MAX(U$2:U$486)-MIN(U$2:U$486))*100, 2)), "")</f>
        <v/>
      </c>
      <c r="AC242">
        <f>IF(AND(ISNUMBER(Z242), ISNUMBER(AA242), ISNUMBER(AB242)), ROUND((Z242+AA242+AB242)/3, 2), "")</f>
        <v/>
      </c>
    </row>
    <row r="243">
      <c r="A243" t="n">
        <v>166558622</v>
      </c>
      <c r="B243" t="n">
        <v>1700</v>
      </c>
      <c r="C243" t="inlineStr">
        <is>
          <t>£1,700 pcm</t>
        </is>
      </c>
      <c r="D243" t="inlineStr">
        <is>
          <t>monthly</t>
        </is>
      </c>
      <c r="E243" t="inlineStr">
        <is>
          <t>Flat</t>
        </is>
      </c>
      <c r="F243" t="n">
        <v>2</v>
      </c>
      <c r="G243" t="n">
        <v>1</v>
      </c>
      <c r="H243" t="inlineStr">
        <is>
          <t>Dover Court, London, SE10</t>
        </is>
      </c>
      <c r="I243" t="inlineStr">
        <is>
          <t>*AVAILABLE FROM 25th September* Please note minimum tenancy duration is 12 months with further renewals available. THE PROPERTY: New to the market is this bright &amp; modern 2 Bed Flat availabl... ** Property Reference: 2612251 **</t>
        </is>
      </c>
      <c r="J243" t="inlineStr">
        <is>
          <t>https://www.rightmove.co.uk/properties/166558622#/?channel=RES_LET</t>
        </is>
      </c>
      <c r="K243" t="inlineStr">
        <is>
          <t>/property-to-rent/contactBranch.html?propertyId=166558622</t>
        </is>
      </c>
      <c r="L243" t="inlineStr">
        <is>
          <t>OpenRent, London</t>
        </is>
      </c>
      <c r="M243" t="n">
        <v>96668</v>
      </c>
      <c r="N243" t="inlineStr">
        <is>
          <t>Reduced on 08/10/2025</t>
        </is>
      </c>
      <c r="O243" t="inlineStr">
        <is>
          <t>2025-09-03T20:08:16Z</t>
        </is>
      </c>
      <c r="Q243" t="inlineStr">
        <is>
          <t>SE10</t>
        </is>
      </c>
      <c r="R243" t="inlineStr">
        <is>
          <t>2025-10-16T17:42:24.908575</t>
        </is>
      </c>
      <c r="S243" t="inlineStr">
        <is>
          <t>{'let available date': 'Now', 'deposit': '£1,962', 'min. tenancy': 'Ask agent', 'let type': 'Long term', 'furnish type': 'Furnished', 'council tax': 'Ask agent'}</t>
        </is>
      </c>
      <c r="V243" t="b">
        <v>1</v>
      </c>
      <c r="X243" t="n">
        <v>12.33</v>
      </c>
      <c r="Y243" t="n">
        <v>45.5</v>
      </c>
      <c r="Z243">
        <f>IF(AND(ISNUMBER(B243), ISNUMBER(MIN(B$2:B$486)), ISNUMBER(MAX(B$2:B$486))), IF(MAX(B$2:B$486)=MIN(B$2:B$486), 50, ROUND((MAX(B$2:B$486)-B243)/(MAX(B$2:B$486)-MIN(B$2:B$486))*100, 2)), "")</f>
        <v/>
      </c>
      <c r="AA243">
        <f>IF(AND(ISNUMBER(X243), ISNUMBER(MIN(X$2:X$486)), ISNUMBER(MAX(X$2:X$486))), IF(MAX(X$2:X$486)=MIN(X$2:X$486), 50, ROUND((MAX(X$2:X$486)-X243)/(MAX(X$2:X$486)-MIN(X$2:X$486))*100, 2)), "")</f>
        <v/>
      </c>
      <c r="AB243">
        <f>IF(AND(ISNUMBER(U243), ISNUMBER(MIN(U$2:U$486)), ISNUMBER(MAX(U$2:U$486))), IF(MAX(U$2:U$486)=MIN(U$2:U$486), 50, ROUND((U243-MIN(U$2:U$486))/(MAX(U$2:U$486)-MIN(U$2:U$486))*100, 2)), "")</f>
        <v/>
      </c>
      <c r="AC243">
        <f>IF(AND(ISNUMBER(Z243), ISNUMBER(AA243), ISNUMBER(AB243)), ROUND((Z243+AA243+AB243)/3, 2), "")</f>
        <v/>
      </c>
    </row>
    <row r="244">
      <c r="A244" t="n">
        <v>167848745</v>
      </c>
      <c r="B244" t="n">
        <v>1700</v>
      </c>
      <c r="C244" t="inlineStr">
        <is>
          <t>£1,700 pcm</t>
        </is>
      </c>
      <c r="D244" t="inlineStr">
        <is>
          <t>monthly</t>
        </is>
      </c>
      <c r="E244" t="inlineStr">
        <is>
          <t>Apartment</t>
        </is>
      </c>
      <c r="F244" t="n">
        <v>2</v>
      </c>
      <c r="G244" t="n">
        <v>1</v>
      </c>
      <c r="H244" t="inlineStr">
        <is>
          <t>Sundorne Road, Charlton, SE7</t>
        </is>
      </c>
      <c r="I244" t="inlineStr">
        <is>
          <t>Set within a quiet residential development, this two bedroom first floor apartment is presented in excellent condition and features a private entrance and refurbished bathroom.</t>
        </is>
      </c>
      <c r="J244" t="inlineStr">
        <is>
          <t>https://www.rightmove.co.uk/properties/167848745#/?channel=RES_LET</t>
        </is>
      </c>
      <c r="K244" t="inlineStr">
        <is>
          <t>/property-to-rent/contactBranch.html?propertyId=167848745</t>
        </is>
      </c>
      <c r="L244" t="inlineStr">
        <is>
          <t>Conran Estates, Charlton</t>
        </is>
      </c>
      <c r="M244" t="n">
        <v>17516</v>
      </c>
      <c r="N244" t="inlineStr">
        <is>
          <t>Reduced on 08/10/2025</t>
        </is>
      </c>
      <c r="O244" t="inlineStr">
        <is>
          <t>2025-10-06T12:15:23Z</t>
        </is>
      </c>
      <c r="Q244" t="inlineStr">
        <is>
          <t>SE7</t>
        </is>
      </c>
      <c r="R244" t="inlineStr">
        <is>
          <t>2025-10-16T17:42:24.908577</t>
        </is>
      </c>
      <c r="S244" t="inlineStr">
        <is>
          <t>{'let available date': 'Now', 'deposit': '£1,961', 'min. tenancy': 'Ask agent', 'let type': 'Long term', 'furnish type': 'Unfurnished', 'council tax': 'Ask agent'}</t>
        </is>
      </c>
      <c r="V244" t="b">
        <v>1</v>
      </c>
      <c r="X244" t="n">
        <v>17.1</v>
      </c>
      <c r="Y244" t="n">
        <v>47.3</v>
      </c>
      <c r="Z244">
        <f>IF(AND(ISNUMBER(B244), ISNUMBER(MIN(B$2:B$486)), ISNUMBER(MAX(B$2:B$486))), IF(MAX(B$2:B$486)=MIN(B$2:B$486), 50, ROUND((MAX(B$2:B$486)-B244)/(MAX(B$2:B$486)-MIN(B$2:B$486))*100, 2)), "")</f>
        <v/>
      </c>
      <c r="AA244">
        <f>IF(AND(ISNUMBER(X244), ISNUMBER(MIN(X$2:X$486)), ISNUMBER(MAX(X$2:X$486))), IF(MAX(X$2:X$486)=MIN(X$2:X$486), 50, ROUND((MAX(X$2:X$486)-X244)/(MAX(X$2:X$486)-MIN(X$2:X$486))*100, 2)), "")</f>
        <v/>
      </c>
      <c r="AB244">
        <f>IF(AND(ISNUMBER(U244), ISNUMBER(MIN(U$2:U$486)), ISNUMBER(MAX(U$2:U$486))), IF(MAX(U$2:U$486)=MIN(U$2:U$486), 50, ROUND((U244-MIN(U$2:U$486))/(MAX(U$2:U$486)-MIN(U$2:U$486))*100, 2)), "")</f>
        <v/>
      </c>
      <c r="AC244">
        <f>IF(AND(ISNUMBER(Z244), ISNUMBER(AA244), ISNUMBER(AB244)), ROUND((Z244+AA244+AB244)/3, 2), "")</f>
        <v/>
      </c>
    </row>
    <row r="245">
      <c r="A245" t="n">
        <v>167247785</v>
      </c>
      <c r="B245" t="n">
        <v>1700</v>
      </c>
      <c r="C245" t="inlineStr">
        <is>
          <t>£1,700 pcm</t>
        </is>
      </c>
      <c r="D245" t="inlineStr">
        <is>
          <t>monthly</t>
        </is>
      </c>
      <c r="E245" t="inlineStr">
        <is>
          <t>Apartment</t>
        </is>
      </c>
      <c r="F245" t="n">
        <v>2</v>
      </c>
      <c r="G245" t="n">
        <v>1</v>
      </c>
      <c r="H245" t="inlineStr">
        <is>
          <t>Lower Road, London, SE16</t>
        </is>
      </c>
      <c r="I245" t="inlineStr">
        <is>
          <t>AVAILABLE NOW! UNFURNISHED WITH WHITE GOODS! Discover an affordable gem in the heart of London! This modern two-bedroom apartment is located moments from Surrey Quays Station, enjoy the convenience of nearby amenities and vibrant city life</t>
        </is>
      </c>
      <c r="J245" t="inlineStr">
        <is>
          <t>https://www.rightmove.co.uk/properties/167247785#/?channel=RES_LET</t>
        </is>
      </c>
      <c r="K245" t="inlineStr">
        <is>
          <t>/property-to-rent/contactBranch.html?propertyId=167247785</t>
        </is>
      </c>
      <c r="L245" t="inlineStr">
        <is>
          <t>Keystones Property, Collier Row</t>
        </is>
      </c>
      <c r="M245" t="n">
        <v>95887</v>
      </c>
      <c r="N245" t="inlineStr">
        <is>
          <t>Reduced on 08/10/2025</t>
        </is>
      </c>
      <c r="O245" t="inlineStr">
        <is>
          <t>2025-09-22T10:04:24Z</t>
        </is>
      </c>
      <c r="Q245" t="inlineStr">
        <is>
          <t>SE16</t>
        </is>
      </c>
      <c r="R245" t="inlineStr">
        <is>
          <t>2025-10-16T17:42:27.287608</t>
        </is>
      </c>
      <c r="S245" t="inlineStr">
        <is>
          <t>{'let available date': '20/10/2025', 'deposit': 'Ask agent', 'min. tenancy': 'Ask agent', 'let type': 'Long term', 'furnish type': 'Ask agent', 'council tax': 'Ask agent'}</t>
        </is>
      </c>
      <c r="V245" t="b">
        <v>1</v>
      </c>
      <c r="X245" t="n">
        <v>7.74</v>
      </c>
      <c r="Y245" t="n">
        <v>36.2</v>
      </c>
      <c r="Z245">
        <f>IF(AND(ISNUMBER(B245), ISNUMBER(MIN(B$2:B$486)), ISNUMBER(MAX(B$2:B$486))), IF(MAX(B$2:B$486)=MIN(B$2:B$486), 50, ROUND((MAX(B$2:B$486)-B245)/(MAX(B$2:B$486)-MIN(B$2:B$486))*100, 2)), "")</f>
        <v/>
      </c>
      <c r="AA245">
        <f>IF(AND(ISNUMBER(X245), ISNUMBER(MIN(X$2:X$486)), ISNUMBER(MAX(X$2:X$486))), IF(MAX(X$2:X$486)=MIN(X$2:X$486), 50, ROUND((MAX(X$2:X$486)-X245)/(MAX(X$2:X$486)-MIN(X$2:X$486))*100, 2)), "")</f>
        <v/>
      </c>
      <c r="AB245">
        <f>IF(AND(ISNUMBER(U245), ISNUMBER(MIN(U$2:U$486)), ISNUMBER(MAX(U$2:U$486))), IF(MAX(U$2:U$486)=MIN(U$2:U$486), 50, ROUND((U245-MIN(U$2:U$486))/(MAX(U$2:U$486)-MIN(U$2:U$486))*100, 2)), "")</f>
        <v/>
      </c>
      <c r="AC245">
        <f>IF(AND(ISNUMBER(Z245), ISNUMBER(AA245), ISNUMBER(AB245)), ROUND((Z245+AA245+AB245)/3, 2), "")</f>
        <v/>
      </c>
    </row>
    <row r="246">
      <c r="A246" t="n">
        <v>167973056</v>
      </c>
      <c r="B246" t="n">
        <v>1750</v>
      </c>
      <c r="C246" t="inlineStr">
        <is>
          <t>£1,750 pcm</t>
        </is>
      </c>
      <c r="D246" t="inlineStr">
        <is>
          <t>monthly</t>
        </is>
      </c>
      <c r="E246" t="inlineStr">
        <is>
          <t>Flat</t>
        </is>
      </c>
      <c r="F246" t="n">
        <v>2</v>
      </c>
      <c r="G246" t="n">
        <v>1</v>
      </c>
      <c r="H246" t="inlineStr">
        <is>
          <t>Macoma Road London SE18</t>
        </is>
      </c>
      <c r="I246" t="inlineStr">
        <is>
          <t>John Payne are delighted to market a Stunning Two Double Bedroom Garden Flat forming part of a period property located on a quiet residential road close to all local amenities and available for occupation early December. Please call now to view.</t>
        </is>
      </c>
      <c r="J246" t="inlineStr">
        <is>
          <t>https://www.rightmove.co.uk/properties/167973056#/?channel=RES_LET</t>
        </is>
      </c>
      <c r="K246" t="inlineStr">
        <is>
          <t>/property-to-rent/contactBranch.html?propertyId=167973056</t>
        </is>
      </c>
      <c r="L246" t="inlineStr">
        <is>
          <t>John Payne, Plumstead High Street</t>
        </is>
      </c>
      <c r="M246" t="n">
        <v>189056</v>
      </c>
      <c r="N246" t="inlineStr">
        <is>
          <t>Added on 08/10/2025</t>
        </is>
      </c>
      <c r="O246" t="inlineStr">
        <is>
          <t>2025-10-08T10:53:06Z</t>
        </is>
      </c>
      <c r="Q246" t="inlineStr">
        <is>
          <t>SE18</t>
        </is>
      </c>
      <c r="R246" t="inlineStr">
        <is>
          <t>2025-10-16T17:42:27.287616</t>
        </is>
      </c>
      <c r="S246" t="inlineStr">
        <is>
          <t>{'let available date': '06/12/2025', 'deposit': '£2,020', 'min. tenancy': '12 months', 'let type': 'Long term', 'furnish type': 'Furnished', 'council tax': 'Ask agent'}</t>
        </is>
      </c>
      <c r="V246" t="b">
        <v>1</v>
      </c>
      <c r="X246" t="n">
        <v>20.83</v>
      </c>
      <c r="Y246" t="n">
        <v>51.8</v>
      </c>
      <c r="Z246">
        <f>IF(AND(ISNUMBER(B246), ISNUMBER(MIN(B$2:B$486)), ISNUMBER(MAX(B$2:B$486))), IF(MAX(B$2:B$486)=MIN(B$2:B$486), 50, ROUND((MAX(B$2:B$486)-B246)/(MAX(B$2:B$486)-MIN(B$2:B$486))*100, 2)), "")</f>
        <v/>
      </c>
      <c r="AA246">
        <f>IF(AND(ISNUMBER(X246), ISNUMBER(MIN(X$2:X$486)), ISNUMBER(MAX(X$2:X$486))), IF(MAX(X$2:X$486)=MIN(X$2:X$486), 50, ROUND((MAX(X$2:X$486)-X246)/(MAX(X$2:X$486)-MIN(X$2:X$486))*100, 2)), "")</f>
        <v/>
      </c>
      <c r="AB246">
        <f>IF(AND(ISNUMBER(U246), ISNUMBER(MIN(U$2:U$486)), ISNUMBER(MAX(U$2:U$486))), IF(MAX(U$2:U$486)=MIN(U$2:U$486), 50, ROUND((U246-MIN(U$2:U$486))/(MAX(U$2:U$486)-MIN(U$2:U$486))*100, 2)), "")</f>
        <v/>
      </c>
      <c r="AC246">
        <f>IF(AND(ISNUMBER(Z246), ISNUMBER(AA246), ISNUMBER(AB246)), ROUND((Z246+AA246+AB246)/3, 2), "")</f>
        <v/>
      </c>
    </row>
    <row r="247">
      <c r="A247" t="n">
        <v>168256706</v>
      </c>
      <c r="B247" t="n">
        <v>1550</v>
      </c>
      <c r="C247" t="inlineStr">
        <is>
          <t>£1,550 pcm</t>
        </is>
      </c>
      <c r="D247" t="inlineStr">
        <is>
          <t>monthly</t>
        </is>
      </c>
      <c r="E247" t="inlineStr">
        <is>
          <t>Flat</t>
        </is>
      </c>
      <c r="F247" t="n">
        <v>2</v>
      </c>
      <c r="G247" t="n">
        <v>1</v>
      </c>
      <c r="H247" t="inlineStr">
        <is>
          <t>Theodore Road, London, SE13</t>
        </is>
      </c>
      <c r="I247" t="inlineStr">
        <is>
          <t>Two Bedroom Apartment / IDEAL FOR A COUPLE / £50.00 Electric Contribution On Top Of The Rent / NO DEPOSIT OPTION AVAILABE / Near Lewisham Hospital / Unfurnished / Central Heating / Double Glazing / Fitted Carpets / Open Plan Kitchen / Hither Green Station / Zone Three / Please</t>
        </is>
      </c>
      <c r="J247" t="inlineStr">
        <is>
          <t>https://www.rightmove.co.uk/properties/168256706#/?channel=RES_LET</t>
        </is>
      </c>
      <c r="K247" t="inlineStr">
        <is>
          <t>/property-to-rent/contactBranch.html?propertyId=168256706</t>
        </is>
      </c>
      <c r="L247" t="inlineStr">
        <is>
          <t>Leaders Lettings, Lewisham</t>
        </is>
      </c>
      <c r="M247" t="n">
        <v>37160</v>
      </c>
      <c r="N247" t="inlineStr">
        <is>
          <t>Added on 08/10/2025</t>
        </is>
      </c>
      <c r="O247" t="inlineStr">
        <is>
          <t>2025-10-16T12:38:21Z</t>
        </is>
      </c>
      <c r="Q247" t="inlineStr">
        <is>
          <t>SE13</t>
        </is>
      </c>
      <c r="R247" t="inlineStr">
        <is>
          <t>2025-10-16T17:42:27.287623</t>
        </is>
      </c>
      <c r="S247" t="inlineStr">
        <is>
          <t>{'let available date': '05/12/2025', 'deposit': 'Ask agent', 'min. tenancy': 'Ask agent', 'let type': 'Long term', 'furnish type': 'Unfurnished', 'council tax': 'Ask agent'}</t>
        </is>
      </c>
      <c r="V247" t="b">
        <v>1</v>
      </c>
      <c r="X247" t="n">
        <v>12.97</v>
      </c>
      <c r="Y247" t="n">
        <v>49.7</v>
      </c>
      <c r="Z247">
        <f>IF(AND(ISNUMBER(B247), ISNUMBER(MIN(B$2:B$486)), ISNUMBER(MAX(B$2:B$486))), IF(MAX(B$2:B$486)=MIN(B$2:B$486), 50, ROUND((MAX(B$2:B$486)-B247)/(MAX(B$2:B$486)-MIN(B$2:B$486))*100, 2)), "")</f>
        <v/>
      </c>
      <c r="AA247">
        <f>IF(AND(ISNUMBER(X247), ISNUMBER(MIN(X$2:X$486)), ISNUMBER(MAX(X$2:X$486))), IF(MAX(X$2:X$486)=MIN(X$2:X$486), 50, ROUND((MAX(X$2:X$486)-X247)/(MAX(X$2:X$486)-MIN(X$2:X$486))*100, 2)), "")</f>
        <v/>
      </c>
      <c r="AB247">
        <f>IF(AND(ISNUMBER(U247), ISNUMBER(MIN(U$2:U$486)), ISNUMBER(MAX(U$2:U$486))), IF(MAX(U$2:U$486)=MIN(U$2:U$486), 50, ROUND((U247-MIN(U$2:U$486))/(MAX(U$2:U$486)-MIN(U$2:U$486))*100, 2)), "")</f>
        <v/>
      </c>
      <c r="AC247">
        <f>IF(AND(ISNUMBER(Z247), ISNUMBER(AA247), ISNUMBER(AB247)), ROUND((Z247+AA247+AB247)/3, 2), "")</f>
        <v/>
      </c>
    </row>
    <row r="248">
      <c r="A248" t="n">
        <v>167253389</v>
      </c>
      <c r="B248" t="n">
        <v>1650</v>
      </c>
      <c r="C248" t="inlineStr">
        <is>
          <t>£1,650 pcm</t>
        </is>
      </c>
      <c r="D248" t="inlineStr">
        <is>
          <t>monthly</t>
        </is>
      </c>
      <c r="E248" t="inlineStr">
        <is>
          <t>Apartment</t>
        </is>
      </c>
      <c r="F248" t="n">
        <v>2</v>
      </c>
      <c r="G248" t="n">
        <v>1</v>
      </c>
      <c r="H248" t="inlineStr">
        <is>
          <t>Granby Road, Eltham, SE9</t>
        </is>
      </c>
      <c r="I248" t="inlineStr">
        <is>
          <t>A well-presented two bedroom first floor maisonette with a spacious reception room, refurbished bathroom and separate kitchen, situated close to Eltham station and the High Street.</t>
        </is>
      </c>
      <c r="J248" t="inlineStr">
        <is>
          <t>https://www.rightmove.co.uk/properties/167253389#/?channel=RES_LET</t>
        </is>
      </c>
      <c r="K248" t="inlineStr">
        <is>
          <t>/property-to-rent/contactBranch.html?propertyId=167253389</t>
        </is>
      </c>
      <c r="L248" t="inlineStr">
        <is>
          <t>Conran Estates, Lee</t>
        </is>
      </c>
      <c r="M248" t="n">
        <v>14975</v>
      </c>
      <c r="N248" t="inlineStr">
        <is>
          <t>Reduced on 08/10/2025</t>
        </is>
      </c>
      <c r="O248" t="inlineStr">
        <is>
          <t>2025-09-22T11:22:07Z</t>
        </is>
      </c>
      <c r="Q248" t="inlineStr">
        <is>
          <t>SE9</t>
        </is>
      </c>
      <c r="R248" t="inlineStr">
        <is>
          <t>2025-10-16T17:42:27.287629</t>
        </is>
      </c>
      <c r="S248" t="inlineStr">
        <is>
          <t>{'let available date': 'Now', 'deposit': '£2,019', 'min. tenancy': 'Ask agent', 'let type': 'Long term', 'furnish type': 'Ask agent', 'council tax': 'Ask agent'}</t>
        </is>
      </c>
      <c r="V248" t="b">
        <v>1</v>
      </c>
      <c r="X248" t="n">
        <v>22.55</v>
      </c>
      <c r="Y248" t="n">
        <v>51.8</v>
      </c>
      <c r="Z248">
        <f>IF(AND(ISNUMBER(B248), ISNUMBER(MIN(B$2:B$486)), ISNUMBER(MAX(B$2:B$486))), IF(MAX(B$2:B$486)=MIN(B$2:B$486), 50, ROUND((MAX(B$2:B$486)-B248)/(MAX(B$2:B$486)-MIN(B$2:B$486))*100, 2)), "")</f>
        <v/>
      </c>
      <c r="AA248">
        <f>IF(AND(ISNUMBER(X248), ISNUMBER(MIN(X$2:X$486)), ISNUMBER(MAX(X$2:X$486))), IF(MAX(X$2:X$486)=MIN(X$2:X$486), 50, ROUND((MAX(X$2:X$486)-X248)/(MAX(X$2:X$486)-MIN(X$2:X$486))*100, 2)), "")</f>
        <v/>
      </c>
      <c r="AB248">
        <f>IF(AND(ISNUMBER(U248), ISNUMBER(MIN(U$2:U$486)), ISNUMBER(MAX(U$2:U$486))), IF(MAX(U$2:U$486)=MIN(U$2:U$486), 50, ROUND((U248-MIN(U$2:U$486))/(MAX(U$2:U$486)-MIN(U$2:U$486))*100, 2)), "")</f>
        <v/>
      </c>
      <c r="AC248">
        <f>IF(AND(ISNUMBER(Z248), ISNUMBER(AA248), ISNUMBER(AB248)), ROUND((Z248+AA248+AB248)/3, 2), "")</f>
        <v/>
      </c>
    </row>
    <row r="249">
      <c r="A249" t="n">
        <v>167952143</v>
      </c>
      <c r="B249" t="n">
        <v>1600</v>
      </c>
      <c r="C249" t="inlineStr">
        <is>
          <t>£1,600 pcm</t>
        </is>
      </c>
      <c r="D249" t="inlineStr">
        <is>
          <t>monthly</t>
        </is>
      </c>
      <c r="E249" t="inlineStr">
        <is>
          <t>Flat</t>
        </is>
      </c>
      <c r="F249" t="n">
        <v>2</v>
      </c>
      <c r="G249" t="n">
        <v>1</v>
      </c>
      <c r="H249" t="inlineStr">
        <is>
          <t>Burrage Road, London, SE18</t>
        </is>
      </c>
      <c r="I249" t="inlineStr">
        <is>
          <t>NEWLYRENOVATED THROUGHOUT (KITCHEN/CARPET/BATHROOM) This spacious and bright two bedroom flat is located a short walk from Woolwich Arsenal station. Property is situated within a period conversion... ** Property Reference: 2651398 **</t>
        </is>
      </c>
      <c r="J249" t="inlineStr">
        <is>
          <t>https://www.rightmove.co.uk/properties/167952143#/?channel=RES_LET</t>
        </is>
      </c>
      <c r="K249" t="inlineStr">
        <is>
          <t>/property-to-rent/contactBranch.html?propertyId=167952143</t>
        </is>
      </c>
      <c r="L249" t="inlineStr">
        <is>
          <t>OpenRent, London</t>
        </is>
      </c>
      <c r="M249" t="n">
        <v>96668</v>
      </c>
      <c r="N249" t="inlineStr">
        <is>
          <t>Added on 08/10/2025</t>
        </is>
      </c>
      <c r="O249" t="inlineStr">
        <is>
          <t>2025-10-08T00:09:55Z</t>
        </is>
      </c>
      <c r="Q249" t="inlineStr">
        <is>
          <t>SE18</t>
        </is>
      </c>
      <c r="R249" t="inlineStr">
        <is>
          <t>2025-10-16T17:42:27.287636</t>
        </is>
      </c>
      <c r="S249" t="inlineStr">
        <is>
          <t>{'let available date': '02/11/2025', 'deposit': '£1,800', 'min. tenancy': 'Ask agent', 'let type': 'Long term', 'furnish type': 'Unfurnished', 'council tax': 'Ask agent'}</t>
        </is>
      </c>
      <c r="V249" t="b">
        <v>1</v>
      </c>
      <c r="X249" t="n">
        <v>20.83</v>
      </c>
      <c r="Y249" t="n">
        <v>51.8</v>
      </c>
      <c r="Z249">
        <f>IF(AND(ISNUMBER(B249), ISNUMBER(MIN(B$2:B$486)), ISNUMBER(MAX(B$2:B$486))), IF(MAX(B$2:B$486)=MIN(B$2:B$486), 50, ROUND((MAX(B$2:B$486)-B249)/(MAX(B$2:B$486)-MIN(B$2:B$486))*100, 2)), "")</f>
        <v/>
      </c>
      <c r="AA249">
        <f>IF(AND(ISNUMBER(X249), ISNUMBER(MIN(X$2:X$486)), ISNUMBER(MAX(X$2:X$486))), IF(MAX(X$2:X$486)=MIN(X$2:X$486), 50, ROUND((MAX(X$2:X$486)-X249)/(MAX(X$2:X$486)-MIN(X$2:X$486))*100, 2)), "")</f>
        <v/>
      </c>
      <c r="AB249">
        <f>IF(AND(ISNUMBER(U249), ISNUMBER(MIN(U$2:U$486)), ISNUMBER(MAX(U$2:U$486))), IF(MAX(U$2:U$486)=MIN(U$2:U$486), 50, ROUND((U249-MIN(U$2:U$486))/(MAX(U$2:U$486)-MIN(U$2:U$486))*100, 2)), "")</f>
        <v/>
      </c>
      <c r="AC249">
        <f>IF(AND(ISNUMBER(Z249), ISNUMBER(AA249), ISNUMBER(AB249)), ROUND((Z249+AA249+AB249)/3, 2), "")</f>
        <v/>
      </c>
    </row>
    <row r="250">
      <c r="A250" t="n">
        <v>166889018</v>
      </c>
      <c r="B250" t="n">
        <v>1600</v>
      </c>
      <c r="C250" t="inlineStr">
        <is>
          <t>£1,600 pcm</t>
        </is>
      </c>
      <c r="D250" t="inlineStr">
        <is>
          <t>monthly</t>
        </is>
      </c>
      <c r="E250" t="inlineStr">
        <is>
          <t>Flat</t>
        </is>
      </c>
      <c r="F250" t="n">
        <v>2</v>
      </c>
      <c r="G250" t="n">
        <v>1</v>
      </c>
      <c r="H250" t="inlineStr">
        <is>
          <t>Sunningfields Road, London</t>
        </is>
      </c>
      <c r="I250" t="inlineStr">
        <is>
          <t>A spacious two double bedroom split level apartment on the second floor of a period conversion with a large living room with dining area, two good size bedrooms, an eat in size kitchen with access to private rear facing balcony.</t>
        </is>
      </c>
      <c r="J250" t="inlineStr">
        <is>
          <t>https://www.rightmove.co.uk/properties/166889018#/?channel=RES_LET</t>
        </is>
      </c>
      <c r="K250" t="inlineStr">
        <is>
          <t>/property-to-rent/contactBranch.html?propertyId=166889018</t>
        </is>
      </c>
      <c r="L250" t="inlineStr">
        <is>
          <t>Dexters, Hendon</t>
        </is>
      </c>
      <c r="M250" t="n">
        <v>44870</v>
      </c>
      <c r="N250" t="inlineStr">
        <is>
          <t>Reduced on 07/10/2025</t>
        </is>
      </c>
      <c r="O250" t="inlineStr">
        <is>
          <t>2025-09-11T16:14:13Z</t>
        </is>
      </c>
      <c r="R250" t="inlineStr">
        <is>
          <t>2025-10-16T17:42:27.287641</t>
        </is>
      </c>
      <c r="S250" t="inlineStr">
        <is>
          <t>{'let available date': 'Ask agent', 'deposit': '£1,846', 'min. tenancy': 'Ask agent', 'let type': 'Long term', 'furnish type': 'Unfurnished', 'council tax': 'Ask agent'}</t>
        </is>
      </c>
      <c r="V250" t="b">
        <v>1</v>
      </c>
      <c r="X250" t="n">
        <v>14.14</v>
      </c>
      <c r="Y250" t="n">
        <v>43.8</v>
      </c>
      <c r="Z250">
        <f>IF(AND(ISNUMBER(B250), ISNUMBER(MIN(B$2:B$486)), ISNUMBER(MAX(B$2:B$486))), IF(MAX(B$2:B$486)=MIN(B$2:B$486), 50, ROUND((MAX(B$2:B$486)-B250)/(MAX(B$2:B$486)-MIN(B$2:B$486))*100, 2)), "")</f>
        <v/>
      </c>
      <c r="AA250">
        <f>IF(AND(ISNUMBER(X250), ISNUMBER(MIN(X$2:X$486)), ISNUMBER(MAX(X$2:X$486))), IF(MAX(X$2:X$486)=MIN(X$2:X$486), 50, ROUND((MAX(X$2:X$486)-X250)/(MAX(X$2:X$486)-MIN(X$2:X$486))*100, 2)), "")</f>
        <v/>
      </c>
      <c r="AB250">
        <f>IF(AND(ISNUMBER(U250), ISNUMBER(MIN(U$2:U$486)), ISNUMBER(MAX(U$2:U$486))), IF(MAX(U$2:U$486)=MIN(U$2:U$486), 50, ROUND((U250-MIN(U$2:U$486))/(MAX(U$2:U$486)-MIN(U$2:U$486))*100, 2)), "")</f>
        <v/>
      </c>
      <c r="AC250">
        <f>IF(AND(ISNUMBER(Z250), ISNUMBER(AA250), ISNUMBER(AB250)), ROUND((Z250+AA250+AB250)/3, 2), "")</f>
        <v/>
      </c>
    </row>
    <row r="251">
      <c r="A251" t="n">
        <v>167431427</v>
      </c>
      <c r="B251" t="n">
        <v>1650</v>
      </c>
      <c r="C251" t="inlineStr">
        <is>
          <t>£1,650 pcm</t>
        </is>
      </c>
      <c r="D251" t="inlineStr">
        <is>
          <t>monthly</t>
        </is>
      </c>
      <c r="E251" t="inlineStr">
        <is>
          <t>Apartment</t>
        </is>
      </c>
      <c r="F251" t="n">
        <v>2</v>
      </c>
      <c r="G251" t="n">
        <v>1</v>
      </c>
      <c r="H251" t="inlineStr">
        <is>
          <t>Ivybridge Close, London Road, Twickenham, TW1</t>
        </is>
      </c>
      <c r="I251" t="inlineStr">
        <is>
          <t>A two bedroom first floor flat with allocated off street parking for one car.</t>
        </is>
      </c>
      <c r="J251" t="inlineStr">
        <is>
          <t>https://www.rightmove.co.uk/properties/167431427#/?channel=RES_LET</t>
        </is>
      </c>
      <c r="K251" t="inlineStr">
        <is>
          <t>/property-to-rent/contactBranch.html?propertyId=167431427</t>
        </is>
      </c>
      <c r="L251" t="inlineStr">
        <is>
          <t>Antony Roberts, St Margarets - Lettings</t>
        </is>
      </c>
      <c r="M251" t="n">
        <v>193835</v>
      </c>
      <c r="N251" t="inlineStr">
        <is>
          <t>Reduced on 07/10/2025</t>
        </is>
      </c>
      <c r="O251" t="inlineStr">
        <is>
          <t>2025-09-25T15:58:48Z</t>
        </is>
      </c>
      <c r="Q251" t="inlineStr">
        <is>
          <t>TW1</t>
        </is>
      </c>
      <c r="R251" t="inlineStr">
        <is>
          <t>2025-10-16T17:42:27.287647</t>
        </is>
      </c>
      <c r="S251" t="inlineStr">
        <is>
          <t>{'let available date': 'Now', 'deposit': '£1,903', 'min. tenancy': 'Ask agent', 'let type': 'Long term', 'furnish type': 'Unfurnished', 'council tax': 'Ask agent'}</t>
        </is>
      </c>
      <c r="V251" t="b">
        <v>1</v>
      </c>
      <c r="X251" t="n">
        <v>17.27</v>
      </c>
      <c r="Y251" t="n">
        <v>55</v>
      </c>
      <c r="Z251">
        <f>IF(AND(ISNUMBER(B251), ISNUMBER(MIN(B$2:B$486)), ISNUMBER(MAX(B$2:B$486))), IF(MAX(B$2:B$486)=MIN(B$2:B$486), 50, ROUND((MAX(B$2:B$486)-B251)/(MAX(B$2:B$486)-MIN(B$2:B$486))*100, 2)), "")</f>
        <v/>
      </c>
      <c r="AA251">
        <f>IF(AND(ISNUMBER(X251), ISNUMBER(MIN(X$2:X$486)), ISNUMBER(MAX(X$2:X$486))), IF(MAX(X$2:X$486)=MIN(X$2:X$486), 50, ROUND((MAX(X$2:X$486)-X251)/(MAX(X$2:X$486)-MIN(X$2:X$486))*100, 2)), "")</f>
        <v/>
      </c>
      <c r="AB251">
        <f>IF(AND(ISNUMBER(U251), ISNUMBER(MIN(U$2:U$486)), ISNUMBER(MAX(U$2:U$486))), IF(MAX(U$2:U$486)=MIN(U$2:U$486), 50, ROUND((U251-MIN(U$2:U$486))/(MAX(U$2:U$486)-MIN(U$2:U$486))*100, 2)), "")</f>
        <v/>
      </c>
      <c r="AC251">
        <f>IF(AND(ISNUMBER(Z251), ISNUMBER(AA251), ISNUMBER(AB251)), ROUND((Z251+AA251+AB251)/3, 2), "")</f>
        <v/>
      </c>
    </row>
    <row r="252">
      <c r="A252" t="n">
        <v>167935358</v>
      </c>
      <c r="B252" t="n">
        <v>1700</v>
      </c>
      <c r="C252" t="inlineStr">
        <is>
          <t>£1,700 pcm</t>
        </is>
      </c>
      <c r="D252" t="inlineStr">
        <is>
          <t>monthly</t>
        </is>
      </c>
      <c r="E252" t="inlineStr">
        <is>
          <t>Flat</t>
        </is>
      </c>
      <c r="F252" t="n">
        <v>2</v>
      </c>
      <c r="G252" t="n">
        <v>1</v>
      </c>
      <c r="H252" t="inlineStr">
        <is>
          <t>Fairwood Court, Fairlop Road, Leytonstone E11</t>
        </is>
      </c>
      <c r="I252" t="inlineStr">
        <is>
          <t>Two Bedroom Ground Floor Flat - Fairlop Road, Leytonstone E11</t>
        </is>
      </c>
      <c r="J252" t="inlineStr">
        <is>
          <t>https://www.rightmove.co.uk/properties/167935358#/?channel=RES_LET</t>
        </is>
      </c>
      <c r="K252" t="inlineStr">
        <is>
          <t>/property-to-rent/contactBranch.html?propertyId=167935358</t>
        </is>
      </c>
      <c r="L252" t="inlineStr">
        <is>
          <t>In Estates, London</t>
        </is>
      </c>
      <c r="M252" t="n">
        <v>38897</v>
      </c>
      <c r="N252" t="inlineStr">
        <is>
          <t>Added on 07/10/2025</t>
        </is>
      </c>
      <c r="O252" t="inlineStr">
        <is>
          <t>2025-10-07T17:38:00Z</t>
        </is>
      </c>
      <c r="Q252" t="inlineStr">
        <is>
          <t>E11</t>
        </is>
      </c>
      <c r="R252" t="inlineStr">
        <is>
          <t>2025-10-16T17:42:27.287653</t>
        </is>
      </c>
      <c r="S252" t="inlineStr">
        <is>
          <t>{'let available date': 'Ask agent', 'deposit': '£1,961', 'min. tenancy': 'Ask agent', 'let type': 'Long term', 'furnish type': 'Furnished', 'council tax': 'Ask agent'}</t>
        </is>
      </c>
      <c r="V252" t="b">
        <v>1</v>
      </c>
      <c r="X252" t="n">
        <v>13.87</v>
      </c>
      <c r="Y252" t="n">
        <v>45.6</v>
      </c>
      <c r="Z252">
        <f>IF(AND(ISNUMBER(B252), ISNUMBER(MIN(B$2:B$486)), ISNUMBER(MAX(B$2:B$486))), IF(MAX(B$2:B$486)=MIN(B$2:B$486), 50, ROUND((MAX(B$2:B$486)-B252)/(MAX(B$2:B$486)-MIN(B$2:B$486))*100, 2)), "")</f>
        <v/>
      </c>
      <c r="AA252">
        <f>IF(AND(ISNUMBER(X252), ISNUMBER(MIN(X$2:X$486)), ISNUMBER(MAX(X$2:X$486))), IF(MAX(X$2:X$486)=MIN(X$2:X$486), 50, ROUND((MAX(X$2:X$486)-X252)/(MAX(X$2:X$486)-MIN(X$2:X$486))*100, 2)), "")</f>
        <v/>
      </c>
      <c r="AB252">
        <f>IF(AND(ISNUMBER(U252), ISNUMBER(MIN(U$2:U$486)), ISNUMBER(MAX(U$2:U$486))), IF(MAX(U$2:U$486)=MIN(U$2:U$486), 50, ROUND((U252-MIN(U$2:U$486))/(MAX(U$2:U$486)-MIN(U$2:U$486))*100, 2)), "")</f>
        <v/>
      </c>
      <c r="AC252">
        <f>IF(AND(ISNUMBER(Z252), ISNUMBER(AA252), ISNUMBER(AB252)), ROUND((Z252+AA252+AB252)/3, 2), "")</f>
        <v/>
      </c>
    </row>
    <row r="253">
      <c r="A253" t="n">
        <v>167166665</v>
      </c>
      <c r="B253" t="n">
        <v>1750</v>
      </c>
      <c r="C253" t="inlineStr">
        <is>
          <t>£1,750 pcm</t>
        </is>
      </c>
      <c r="D253" t="inlineStr">
        <is>
          <t>monthly</t>
        </is>
      </c>
      <c r="E253" t="inlineStr">
        <is>
          <t>Apartment</t>
        </is>
      </c>
      <c r="F253" t="n">
        <v>2</v>
      </c>
      <c r="G253" t="n">
        <v>2</v>
      </c>
      <c r="H253" t="inlineStr">
        <is>
          <t>Pickard Close, LONDON</t>
        </is>
      </c>
      <c r="I253" t="inlineStr">
        <is>
          <t>Just a short walk from Southgate Station this bright and modern two-bedroom apartment in the sought-after Coltswood Court development offering contemporary living in a prime location. The property features a spacious open-plan lounge and fully equipped kitchen, two well-proportioned double bedroo...</t>
        </is>
      </c>
      <c r="J253" t="inlineStr">
        <is>
          <t>https://www.rightmove.co.uk/properties/167166665#/?channel=RES_LET</t>
        </is>
      </c>
      <c r="K253" t="inlineStr">
        <is>
          <t>/property-to-rent/contactBranch.html?propertyId=167166665</t>
        </is>
      </c>
      <c r="L253" t="inlineStr">
        <is>
          <t>Barnfields Estate Agents, Enfield</t>
        </is>
      </c>
      <c r="M253" t="n">
        <v>3843</v>
      </c>
      <c r="N253" t="inlineStr">
        <is>
          <t>Reduced on 07/10/2025</t>
        </is>
      </c>
      <c r="O253" t="inlineStr">
        <is>
          <t>2025-09-18T18:43:14Z</t>
        </is>
      </c>
      <c r="R253" t="inlineStr">
        <is>
          <t>2025-10-16T17:42:27.287662</t>
        </is>
      </c>
      <c r="S253" t="inlineStr">
        <is>
          <t>{'let available date': 'Now', 'deposit': '£0', 'min. tenancy': '12 months', 'let type': 'Long term', 'furnish type': 'Unfurnished', 'council tax': 'Ask agent'}</t>
        </is>
      </c>
      <c r="V253" t="b">
        <v>1</v>
      </c>
      <c r="X253" t="n">
        <v>18.14</v>
      </c>
      <c r="Y253" t="n">
        <v>52.4</v>
      </c>
      <c r="Z253">
        <f>IF(AND(ISNUMBER(B253), ISNUMBER(MIN(B$2:B$486)), ISNUMBER(MAX(B$2:B$486))), IF(MAX(B$2:B$486)=MIN(B$2:B$486), 50, ROUND((MAX(B$2:B$486)-B253)/(MAX(B$2:B$486)-MIN(B$2:B$486))*100, 2)), "")</f>
        <v/>
      </c>
      <c r="AA253">
        <f>IF(AND(ISNUMBER(X253), ISNUMBER(MIN(X$2:X$486)), ISNUMBER(MAX(X$2:X$486))), IF(MAX(X$2:X$486)=MIN(X$2:X$486), 50, ROUND((MAX(X$2:X$486)-X253)/(MAX(X$2:X$486)-MIN(X$2:X$486))*100, 2)), "")</f>
        <v/>
      </c>
      <c r="AB253">
        <f>IF(AND(ISNUMBER(U253), ISNUMBER(MIN(U$2:U$486)), ISNUMBER(MAX(U$2:U$486))), IF(MAX(U$2:U$486)=MIN(U$2:U$486), 50, ROUND((U253-MIN(U$2:U$486))/(MAX(U$2:U$486)-MIN(U$2:U$486))*100, 2)), "")</f>
        <v/>
      </c>
      <c r="AC253">
        <f>IF(AND(ISNUMBER(Z253), ISNUMBER(AA253), ISNUMBER(AB253)), ROUND((Z253+AA253+AB253)/3, 2), "")</f>
        <v/>
      </c>
    </row>
    <row r="254">
      <c r="A254" t="n">
        <v>167930432</v>
      </c>
      <c r="B254" t="n">
        <v>1650</v>
      </c>
      <c r="C254" t="inlineStr">
        <is>
          <t>£1,650 pcm</t>
        </is>
      </c>
      <c r="D254" t="inlineStr">
        <is>
          <t>monthly</t>
        </is>
      </c>
      <c r="E254" t="inlineStr">
        <is>
          <t>Apartment</t>
        </is>
      </c>
      <c r="F254" t="n">
        <v>2</v>
      </c>
      <c r="G254" t="n">
        <v>1</v>
      </c>
      <c r="H254" t="inlineStr">
        <is>
          <t>Links Court, 117 Green Lane, London, SE9</t>
        </is>
      </c>
      <c r="I254" t="inlineStr">
        <is>
          <t>We are pleased to offer for rent this two bedroom apartment situated on the ground floor of a small purpose built block. Neutrally decorated throughout, the property is conveniently located within a short walk of New Eltham train station and local shops. Comes with off street parking for one car.</t>
        </is>
      </c>
      <c r="J254" t="inlineStr">
        <is>
          <t>https://www.rightmove.co.uk/properties/167930432#/?channel=RES_LET</t>
        </is>
      </c>
      <c r="K254" t="inlineStr">
        <is>
          <t>/property-to-rent/contactBranch.html?propertyId=167930432</t>
        </is>
      </c>
      <c r="L254" t="inlineStr">
        <is>
          <t>Coady Phillips, Bromley</t>
        </is>
      </c>
      <c r="M254" t="n">
        <v>14167</v>
      </c>
      <c r="N254" t="inlineStr">
        <is>
          <t>Added on 07/10/2025</t>
        </is>
      </c>
      <c r="O254" t="inlineStr">
        <is>
          <t>2025-10-07T17:02:08Z</t>
        </is>
      </c>
      <c r="Q254" t="inlineStr">
        <is>
          <t>SE9</t>
        </is>
      </c>
      <c r="R254" t="inlineStr">
        <is>
          <t>2025-10-16T17:42:27.287668</t>
        </is>
      </c>
      <c r="S254" t="inlineStr">
        <is>
          <t>{'let available date': '18/10/2025', 'deposit': '£1,900', 'min. tenancy': 'Ask agent', 'let type': 'Long term', 'furnish type': 'Unfurnished', 'council tax': 'Ask agent'}</t>
        </is>
      </c>
      <c r="V254" t="b">
        <v>1</v>
      </c>
      <c r="X254" t="n">
        <v>22.55</v>
      </c>
      <c r="Y254" t="n">
        <v>51.8</v>
      </c>
      <c r="Z254">
        <f>IF(AND(ISNUMBER(B254), ISNUMBER(MIN(B$2:B$486)), ISNUMBER(MAX(B$2:B$486))), IF(MAX(B$2:B$486)=MIN(B$2:B$486), 50, ROUND((MAX(B$2:B$486)-B254)/(MAX(B$2:B$486)-MIN(B$2:B$486))*100, 2)), "")</f>
        <v/>
      </c>
      <c r="AA254">
        <f>IF(AND(ISNUMBER(X254), ISNUMBER(MIN(X$2:X$486)), ISNUMBER(MAX(X$2:X$486))), IF(MAX(X$2:X$486)=MIN(X$2:X$486), 50, ROUND((MAX(X$2:X$486)-X254)/(MAX(X$2:X$486)-MIN(X$2:X$486))*100, 2)), "")</f>
        <v/>
      </c>
      <c r="AB254">
        <f>IF(AND(ISNUMBER(U254), ISNUMBER(MIN(U$2:U$486)), ISNUMBER(MAX(U$2:U$486))), IF(MAX(U$2:U$486)=MIN(U$2:U$486), 50, ROUND((U254-MIN(U$2:U$486))/(MAX(U$2:U$486)-MIN(U$2:U$486))*100, 2)), "")</f>
        <v/>
      </c>
      <c r="AC254">
        <f>IF(AND(ISNUMBER(Z254), ISNUMBER(AA254), ISNUMBER(AB254)), ROUND((Z254+AA254+AB254)/3, 2), "")</f>
        <v/>
      </c>
    </row>
    <row r="255">
      <c r="A255" t="n">
        <v>164737649</v>
      </c>
      <c r="B255" t="n">
        <v>1700</v>
      </c>
      <c r="C255" t="inlineStr">
        <is>
          <t>£1,700 pcm</t>
        </is>
      </c>
      <c r="D255" t="inlineStr">
        <is>
          <t>monthly</t>
        </is>
      </c>
      <c r="E255" t="inlineStr">
        <is>
          <t>House</t>
        </is>
      </c>
      <c r="F255" t="n">
        <v>2</v>
      </c>
      <c r="G255" t="n">
        <v>1</v>
      </c>
      <c r="H255" t="inlineStr">
        <is>
          <t>Tylecroft Road, London</t>
        </is>
      </c>
      <c r="I255" t="inlineStr">
        <is>
          <t>Presenting a two bedroom property across two floors, it offers a good size reception room with the kitchen just off it, leading out into the generously sized private garden to the rear. It boasts two good size double bedrooms with built in storage, situated in a quiet cul-de-sac making it perfect...</t>
        </is>
      </c>
      <c r="J255" t="inlineStr">
        <is>
          <t>https://www.rightmove.co.uk/properties/164737649#/?channel=RES_LET</t>
        </is>
      </c>
      <c r="K255" t="inlineStr">
        <is>
          <t>/property-to-rent/contactBranch.html?propertyId=164737649</t>
        </is>
      </c>
      <c r="L255" t="inlineStr">
        <is>
          <t>James Alexander, Norbury</t>
        </is>
      </c>
      <c r="M255" t="n">
        <v>287633</v>
      </c>
      <c r="N255" t="inlineStr">
        <is>
          <t>Reduced on 07/10/2025</t>
        </is>
      </c>
      <c r="O255" t="inlineStr">
        <is>
          <t>2025-07-21T09:25:55Z</t>
        </is>
      </c>
      <c r="R255" t="inlineStr">
        <is>
          <t>2025-10-16T17:42:27.287674</t>
        </is>
      </c>
      <c r="S255" t="inlineStr">
        <is>
          <t>{'let available date': 'Ask agent', 'deposit': '£1,961', 'min. tenancy': 'Ask agent', 'let type': 'Long term', 'furnish type': 'Unfurnished', 'council tax': 'Ask agent'}</t>
        </is>
      </c>
      <c r="V255" t="b">
        <v>1</v>
      </c>
      <c r="X255" t="n">
        <v>14.45</v>
      </c>
      <c r="Y255" t="n">
        <v>50.9</v>
      </c>
      <c r="Z255">
        <f>IF(AND(ISNUMBER(B255), ISNUMBER(MIN(B$2:B$486)), ISNUMBER(MAX(B$2:B$486))), IF(MAX(B$2:B$486)=MIN(B$2:B$486), 50, ROUND((MAX(B$2:B$486)-B255)/(MAX(B$2:B$486)-MIN(B$2:B$486))*100, 2)), "")</f>
        <v/>
      </c>
      <c r="AA255">
        <f>IF(AND(ISNUMBER(X255), ISNUMBER(MIN(X$2:X$486)), ISNUMBER(MAX(X$2:X$486))), IF(MAX(X$2:X$486)=MIN(X$2:X$486), 50, ROUND((MAX(X$2:X$486)-X255)/(MAX(X$2:X$486)-MIN(X$2:X$486))*100, 2)), "")</f>
        <v/>
      </c>
      <c r="AB255">
        <f>IF(AND(ISNUMBER(U255), ISNUMBER(MIN(U$2:U$486)), ISNUMBER(MAX(U$2:U$486))), IF(MAX(U$2:U$486)=MIN(U$2:U$486), 50, ROUND((U255-MIN(U$2:U$486))/(MAX(U$2:U$486)-MIN(U$2:U$486))*100, 2)), "")</f>
        <v/>
      </c>
      <c r="AC255">
        <f>IF(AND(ISNUMBER(Z255), ISNUMBER(AA255), ISNUMBER(AB255)), ROUND((Z255+AA255+AB255)/3, 2), "")</f>
        <v/>
      </c>
    </row>
    <row r="256">
      <c r="A256" t="n">
        <v>54705324</v>
      </c>
      <c r="B256" t="n">
        <v>1650</v>
      </c>
      <c r="C256" t="inlineStr">
        <is>
          <t>£1,650 pcm</t>
        </is>
      </c>
      <c r="D256" t="inlineStr">
        <is>
          <t>monthly</t>
        </is>
      </c>
      <c r="E256" t="inlineStr">
        <is>
          <t>Apartment</t>
        </is>
      </c>
      <c r="F256" t="n">
        <v>2</v>
      </c>
      <c r="G256" t="n">
        <v>2</v>
      </c>
      <c r="H256" t="inlineStr">
        <is>
          <t>Chalfont Road, London, SE25</t>
        </is>
      </c>
      <c r="I256" t="inlineStr">
        <is>
          <t>MODERN 2 bedroom, 2 bathroom NEW BUILD apartment set within a SOUGHT AFTER DEVELOPMENT. Perfect for both NORWOOD JUNCTION station which is ideal for LONDON BRIDGE and the 'trendy' CRYSTAL PALACE TRIANGLE with its array of boutiques, bars and restaurants. MUST BE VIEWED NOW!! CALL TODAY!!</t>
        </is>
      </c>
      <c r="J256" t="inlineStr">
        <is>
          <t>https://www.rightmove.co.uk/properties/54705324#/?channel=RES_LET</t>
        </is>
      </c>
      <c r="K256" t="inlineStr">
        <is>
          <t>/property-to-rent/contactBranch.html?propertyId=54705324</t>
        </is>
      </c>
      <c r="L256" t="inlineStr">
        <is>
          <t>Streets Ahead, South Norwood</t>
        </is>
      </c>
      <c r="M256" t="n">
        <v>181634</v>
      </c>
      <c r="N256" t="inlineStr">
        <is>
          <t>Added on 07/10/2025</t>
        </is>
      </c>
      <c r="O256" t="inlineStr">
        <is>
          <t>2018-06-04T12:46:17Z</t>
        </is>
      </c>
      <c r="Q256" t="inlineStr">
        <is>
          <t>SE25</t>
        </is>
      </c>
      <c r="R256" t="inlineStr">
        <is>
          <t>2025-10-16T17:42:27.287678</t>
        </is>
      </c>
      <c r="S256" t="inlineStr">
        <is>
          <t>{'let available date': '08/11/2025', 'deposit': '£1,903', 'min. tenancy': 'Ask agent', 'let type': 'Long term', 'furnish type': 'Unfurnished', 'council tax': 'Ask agent'}</t>
        </is>
      </c>
      <c r="V256" t="b">
        <v>1</v>
      </c>
      <c r="X256" t="n">
        <v>16.69</v>
      </c>
      <c r="Y256" t="n">
        <v>52.9</v>
      </c>
      <c r="Z256">
        <f>IF(AND(ISNUMBER(B256), ISNUMBER(MIN(B$2:B$486)), ISNUMBER(MAX(B$2:B$486))), IF(MAX(B$2:B$486)=MIN(B$2:B$486), 50, ROUND((MAX(B$2:B$486)-B256)/(MAX(B$2:B$486)-MIN(B$2:B$486))*100, 2)), "")</f>
        <v/>
      </c>
      <c r="AA256">
        <f>IF(AND(ISNUMBER(X256), ISNUMBER(MIN(X$2:X$486)), ISNUMBER(MAX(X$2:X$486))), IF(MAX(X$2:X$486)=MIN(X$2:X$486), 50, ROUND((MAX(X$2:X$486)-X256)/(MAX(X$2:X$486)-MIN(X$2:X$486))*100, 2)), "")</f>
        <v/>
      </c>
      <c r="AB256">
        <f>IF(AND(ISNUMBER(U256), ISNUMBER(MIN(U$2:U$486)), ISNUMBER(MAX(U$2:U$486))), IF(MAX(U$2:U$486)=MIN(U$2:U$486), 50, ROUND((U256-MIN(U$2:U$486))/(MAX(U$2:U$486)-MIN(U$2:U$486))*100, 2)), "")</f>
        <v/>
      </c>
      <c r="AC256">
        <f>IF(AND(ISNUMBER(Z256), ISNUMBER(AA256), ISNUMBER(AB256)), ROUND((Z256+AA256+AB256)/3, 2), "")</f>
        <v/>
      </c>
    </row>
    <row r="257">
      <c r="A257" t="n">
        <v>167924897</v>
      </c>
      <c r="B257" t="n">
        <v>1699</v>
      </c>
      <c r="C257" t="inlineStr">
        <is>
          <t>£1,699 pcm</t>
        </is>
      </c>
      <c r="D257" t="inlineStr">
        <is>
          <t>monthly</t>
        </is>
      </c>
      <c r="E257" t="inlineStr">
        <is>
          <t>Flat</t>
        </is>
      </c>
      <c r="F257" t="n">
        <v>2</v>
      </c>
      <c r="G257" t="n">
        <v>1</v>
      </c>
      <c r="H257" t="inlineStr">
        <is>
          <t>Seton Court. Leytonstone, E11</t>
        </is>
      </c>
      <c r="I257" t="inlineStr">
        <is>
          <t>Edward Chase is delighted to present to the private residential market this amazing 2 bedroom flat located in Leytonstone. Situation a short walk to Leytonstone Station (Central Line) this flat is an ideal selection for professional sharers or families searching for size, convenience, and comfort...</t>
        </is>
      </c>
      <c r="J257" t="inlineStr">
        <is>
          <t>https://www.rightmove.co.uk/properties/167924897#/?channel=RES_LET</t>
        </is>
      </c>
      <c r="K257" t="inlineStr">
        <is>
          <t>/property-to-rent/contactBranch.html?propertyId=167924897</t>
        </is>
      </c>
      <c r="L257" t="inlineStr">
        <is>
          <t>Edward Chase, Ilford</t>
        </is>
      </c>
      <c r="M257" t="n">
        <v>281156</v>
      </c>
      <c r="N257" t="inlineStr">
        <is>
          <t>Added on 07/10/2025</t>
        </is>
      </c>
      <c r="O257" t="inlineStr">
        <is>
          <t>2025-10-07T15:56:08Z</t>
        </is>
      </c>
      <c r="Q257" t="inlineStr">
        <is>
          <t>E11</t>
        </is>
      </c>
      <c r="R257" t="inlineStr">
        <is>
          <t>2025-10-16T17:42:27.287683</t>
        </is>
      </c>
      <c r="S257" t="inlineStr">
        <is>
          <t>{'let available date': '01/11/2025', 'deposit': '£1,700', 'min. tenancy': 'Ask agent', 'let type': 'Long term', 'furnish type': 'Part furnished', 'council tax': 'Ask agent'}</t>
        </is>
      </c>
      <c r="V257" t="b">
        <v>1</v>
      </c>
      <c r="X257" t="n">
        <v>13.87</v>
      </c>
      <c r="Y257" t="n">
        <v>45.6</v>
      </c>
      <c r="Z257">
        <f>IF(AND(ISNUMBER(B257), ISNUMBER(MIN(B$2:B$486)), ISNUMBER(MAX(B$2:B$486))), IF(MAX(B$2:B$486)=MIN(B$2:B$486), 50, ROUND((MAX(B$2:B$486)-B257)/(MAX(B$2:B$486)-MIN(B$2:B$486))*100, 2)), "")</f>
        <v/>
      </c>
      <c r="AA257">
        <f>IF(AND(ISNUMBER(X257), ISNUMBER(MIN(X$2:X$486)), ISNUMBER(MAX(X$2:X$486))), IF(MAX(X$2:X$486)=MIN(X$2:X$486), 50, ROUND((MAX(X$2:X$486)-X257)/(MAX(X$2:X$486)-MIN(X$2:X$486))*100, 2)), "")</f>
        <v/>
      </c>
      <c r="AB257">
        <f>IF(AND(ISNUMBER(U257), ISNUMBER(MIN(U$2:U$486)), ISNUMBER(MAX(U$2:U$486))), IF(MAX(U$2:U$486)=MIN(U$2:U$486), 50, ROUND((U257-MIN(U$2:U$486))/(MAX(U$2:U$486)-MIN(U$2:U$486))*100, 2)), "")</f>
        <v/>
      </c>
      <c r="AC257">
        <f>IF(AND(ISNUMBER(Z257), ISNUMBER(AA257), ISNUMBER(AB257)), ROUND((Z257+AA257+AB257)/3, 2), "")</f>
        <v/>
      </c>
    </row>
    <row r="258">
      <c r="A258" t="n">
        <v>167924885</v>
      </c>
      <c r="B258" t="n">
        <v>1600</v>
      </c>
      <c r="C258" t="inlineStr">
        <is>
          <t>£1,600 pcm</t>
        </is>
      </c>
      <c r="D258" t="inlineStr">
        <is>
          <t>monthly</t>
        </is>
      </c>
      <c r="E258" t="inlineStr">
        <is>
          <t>Flat</t>
        </is>
      </c>
      <c r="F258" t="n">
        <v>2</v>
      </c>
      <c r="G258" t="n">
        <v>1</v>
      </c>
      <c r="H258" t="inlineStr">
        <is>
          <t>Chinbrook Road , Grove Park, London</t>
        </is>
      </c>
      <c r="I258" t="inlineStr">
        <is>
          <t>Located within a popular residential development close to Grove Park mainline station is this bright and spacious, two double bedroom, first floor purpose built flat. Accommodation offers a good sized lounge with views of the communal garden, modern fully fitted kitchen, two double bedrooms, bat...</t>
        </is>
      </c>
      <c r="J258" t="inlineStr">
        <is>
          <t>https://www.rightmove.co.uk/properties/167924885#/?channel=RES_LET</t>
        </is>
      </c>
      <c r="K258" t="inlineStr">
        <is>
          <t>/property-to-rent/contactBranch.html?propertyId=167924885</t>
        </is>
      </c>
      <c r="L258" t="inlineStr">
        <is>
          <t>Equity London LTD, Eltham</t>
        </is>
      </c>
      <c r="M258" t="n">
        <v>76748</v>
      </c>
      <c r="N258" t="inlineStr">
        <is>
          <t>Reduced on 07/10/2025</t>
        </is>
      </c>
      <c r="O258" t="inlineStr">
        <is>
          <t>2025-10-07T15:55:57Z</t>
        </is>
      </c>
      <c r="R258" t="inlineStr">
        <is>
          <t>2025-10-16T17:42:27.287689</t>
        </is>
      </c>
      <c r="S258" t="inlineStr">
        <is>
          <t>{'let available date': 'Now', 'deposit': '£1,846', 'min. tenancy': '12 months', 'let type': 'Long term', 'furnish type': 'Unfurnished', 'council tax': 'Ask agent'}</t>
        </is>
      </c>
      <c r="T258" t="n">
        <v>574</v>
      </c>
      <c r="U258" t="n">
        <v>53</v>
      </c>
      <c r="V258" t="b">
        <v>1</v>
      </c>
      <c r="X258" t="n">
        <v>23.84</v>
      </c>
      <c r="Y258" t="n">
        <v>53.8</v>
      </c>
      <c r="Z258">
        <f>IF(AND(ISNUMBER(B258), ISNUMBER(MIN(B$2:B$486)), ISNUMBER(MAX(B$2:B$486))), IF(MAX(B$2:B$486)=MIN(B$2:B$486), 50, ROUND((MAX(B$2:B$486)-B258)/(MAX(B$2:B$486)-MIN(B$2:B$486))*100, 2)), "")</f>
        <v/>
      </c>
      <c r="AA258">
        <f>IF(AND(ISNUMBER(X258), ISNUMBER(MIN(X$2:X$486)), ISNUMBER(MAX(X$2:X$486))), IF(MAX(X$2:X$486)=MIN(X$2:X$486), 50, ROUND((MAX(X$2:X$486)-X258)/(MAX(X$2:X$486)-MIN(X$2:X$486))*100, 2)), "")</f>
        <v/>
      </c>
      <c r="AB258">
        <f>IF(AND(ISNUMBER(U258), ISNUMBER(MIN(U$2:U$486)), ISNUMBER(MAX(U$2:U$486))), IF(MAX(U$2:U$486)=MIN(U$2:U$486), 50, ROUND((U258-MIN(U$2:U$486))/(MAX(U$2:U$486)-MIN(U$2:U$486))*100, 2)), "")</f>
        <v/>
      </c>
      <c r="AC258">
        <f>IF(AND(ISNUMBER(Z258), ISNUMBER(AA258), ISNUMBER(AB258)), ROUND((Z258+AA258+AB258)/3, 2), "")</f>
        <v/>
      </c>
    </row>
    <row r="259">
      <c r="A259" t="n">
        <v>167914187</v>
      </c>
      <c r="B259" t="n">
        <v>1400</v>
      </c>
      <c r="C259" t="inlineStr">
        <is>
          <t>£1,400 pcm</t>
        </is>
      </c>
      <c r="D259" t="inlineStr">
        <is>
          <t>monthly</t>
        </is>
      </c>
      <c r="E259" t="inlineStr">
        <is>
          <t>Apartment</t>
        </is>
      </c>
      <c r="F259" t="n">
        <v>2</v>
      </c>
      <c r="G259" t="n">
        <v>1</v>
      </c>
      <c r="H259" t="inlineStr">
        <is>
          <t>Meadowview Road, London, Greater London, SE6 3NL</t>
        </is>
      </c>
      <c r="I259" t="inlineStr">
        <is>
          <t>LettingaProperty are pleased to present this charming two-bedroom first-floor apartment, offering around 550 square feet of bright and comfortable living space. The property features two spacious double bedrooms, a light and airy lounge with a dining area, and a modern, well...</t>
        </is>
      </c>
      <c r="J259" t="inlineStr">
        <is>
          <t>https://www.rightmove.co.uk/properties/167914187#/?channel=RES_LET</t>
        </is>
      </c>
      <c r="K259" t="inlineStr">
        <is>
          <t>/property-to-rent/contactBranch.html?propertyId=167914187</t>
        </is>
      </c>
      <c r="L259" t="inlineStr">
        <is>
          <t>LettingaProperty.com, Nationwide - Lettings</t>
        </is>
      </c>
      <c r="M259" t="n">
        <v>80105</v>
      </c>
      <c r="N259" t="inlineStr">
        <is>
          <t>Added on 07/10/2025</t>
        </is>
      </c>
      <c r="O259" t="inlineStr">
        <is>
          <t>2025-10-07T14:02:13Z</t>
        </is>
      </c>
      <c r="Q259" t="inlineStr">
        <is>
          <t>SE6</t>
        </is>
      </c>
      <c r="R259" t="inlineStr">
        <is>
          <t>2025-10-16T17:42:27.287693</t>
        </is>
      </c>
      <c r="S259" t="inlineStr">
        <is>
          <t>{'let available date': 'Now', 'deposit': '£1,615', 'min. tenancy': '6 months', 'let type': 'Long term', 'furnish type': 'Unfurnished', 'council tax': 'Ask agent'}</t>
        </is>
      </c>
      <c r="V259" t="b">
        <v>1</v>
      </c>
      <c r="X259" t="n">
        <v>14.74</v>
      </c>
      <c r="Y259" t="n">
        <v>50.4</v>
      </c>
      <c r="Z259">
        <f>IF(AND(ISNUMBER(B259), ISNUMBER(MIN(B$2:B$486)), ISNUMBER(MAX(B$2:B$486))), IF(MAX(B$2:B$486)=MIN(B$2:B$486), 50, ROUND((MAX(B$2:B$486)-B259)/(MAX(B$2:B$486)-MIN(B$2:B$486))*100, 2)), "")</f>
        <v/>
      </c>
      <c r="AA259">
        <f>IF(AND(ISNUMBER(X259), ISNUMBER(MIN(X$2:X$486)), ISNUMBER(MAX(X$2:X$486))), IF(MAX(X$2:X$486)=MIN(X$2:X$486), 50, ROUND((MAX(X$2:X$486)-X259)/(MAX(X$2:X$486)-MIN(X$2:X$486))*100, 2)), "")</f>
        <v/>
      </c>
      <c r="AB259">
        <f>IF(AND(ISNUMBER(U259), ISNUMBER(MIN(U$2:U$486)), ISNUMBER(MAX(U$2:U$486))), IF(MAX(U$2:U$486)=MIN(U$2:U$486), 50, ROUND((U259-MIN(U$2:U$486))/(MAX(U$2:U$486)-MIN(U$2:U$486))*100, 2)), "")</f>
        <v/>
      </c>
      <c r="AC259">
        <f>IF(AND(ISNUMBER(Z259), ISNUMBER(AA259), ISNUMBER(AB259)), ROUND((Z259+AA259+AB259)/3, 2), "")</f>
        <v/>
      </c>
    </row>
    <row r="260">
      <c r="A260" t="n">
        <v>167909231</v>
      </c>
      <c r="B260" t="n">
        <v>1650</v>
      </c>
      <c r="C260" t="inlineStr">
        <is>
          <t>£1,650 pcm</t>
        </is>
      </c>
      <c r="D260" t="inlineStr">
        <is>
          <t>monthly</t>
        </is>
      </c>
      <c r="E260" t="inlineStr">
        <is>
          <t>Apartment</t>
        </is>
      </c>
      <c r="F260" t="n">
        <v>2</v>
      </c>
      <c r="G260" t="n">
        <v>1</v>
      </c>
      <c r="H260" t="inlineStr">
        <is>
          <t>Sydenham Road, Sydenham, London, SE26</t>
        </is>
      </c>
      <c r="I260" t="inlineStr">
        <is>
          <t>A superb two double bedroom second floor apartment, located with close proximity of excellent transport links, a wealth of amenities and green open spaces. The accommodation is spacious, wonderfully bright and recently refurbished throughout, ready for a new occupier to immediately enjoy...</t>
        </is>
      </c>
      <c r="J260" t="inlineStr">
        <is>
          <t>https://www.rightmove.co.uk/properties/167909231#/?channel=RES_LET</t>
        </is>
      </c>
      <c r="K260" t="inlineStr">
        <is>
          <t>/property-to-rent/contactBranch.html?propertyId=167909231</t>
        </is>
      </c>
      <c r="L260" t="inlineStr">
        <is>
          <t>Pedder, Sydenham</t>
        </is>
      </c>
      <c r="M260" t="n">
        <v>77653</v>
      </c>
      <c r="N260" t="inlineStr">
        <is>
          <t>Added on 07/10/2025</t>
        </is>
      </c>
      <c r="O260" t="inlineStr">
        <is>
          <t>2025-10-07T13:06:03Z</t>
        </is>
      </c>
      <c r="Q260" t="inlineStr">
        <is>
          <t>SE26</t>
        </is>
      </c>
      <c r="R260" t="inlineStr">
        <is>
          <t>2025-10-16T17:42:27.287698</t>
        </is>
      </c>
      <c r="S260" t="inlineStr">
        <is>
          <t>{'let available date': '28/10/2025', 'deposit': '£1,903', 'min. tenancy': 'Ask agent', 'let type': 'Long term', 'furnish type': 'Unfurnished', 'council tax': 'Ask agent'}</t>
        </is>
      </c>
      <c r="V260" t="b">
        <v>1</v>
      </c>
      <c r="X260" t="n">
        <v>14.14</v>
      </c>
      <c r="Y260" t="n">
        <v>49.6</v>
      </c>
      <c r="Z260">
        <f>IF(AND(ISNUMBER(B260), ISNUMBER(MIN(B$2:B$486)), ISNUMBER(MAX(B$2:B$486))), IF(MAX(B$2:B$486)=MIN(B$2:B$486), 50, ROUND((MAX(B$2:B$486)-B260)/(MAX(B$2:B$486)-MIN(B$2:B$486))*100, 2)), "")</f>
        <v/>
      </c>
      <c r="AA260">
        <f>IF(AND(ISNUMBER(X260), ISNUMBER(MIN(X$2:X$486)), ISNUMBER(MAX(X$2:X$486))), IF(MAX(X$2:X$486)=MIN(X$2:X$486), 50, ROUND((MAX(X$2:X$486)-X260)/(MAX(X$2:X$486)-MIN(X$2:X$486))*100, 2)), "")</f>
        <v/>
      </c>
      <c r="AB260">
        <f>IF(AND(ISNUMBER(U260), ISNUMBER(MIN(U$2:U$486)), ISNUMBER(MAX(U$2:U$486))), IF(MAX(U$2:U$486)=MIN(U$2:U$486), 50, ROUND((U260-MIN(U$2:U$486))/(MAX(U$2:U$486)-MIN(U$2:U$486))*100, 2)), "")</f>
        <v/>
      </c>
      <c r="AC260">
        <f>IF(AND(ISNUMBER(Z260), ISNUMBER(AA260), ISNUMBER(AB260)), ROUND((Z260+AA260+AB260)/3, 2), "")</f>
        <v/>
      </c>
    </row>
    <row r="261">
      <c r="A261" t="n">
        <v>87318057</v>
      </c>
      <c r="B261" t="n">
        <v>1700</v>
      </c>
      <c r="C261" t="inlineStr">
        <is>
          <t>£1,700 pcm</t>
        </is>
      </c>
      <c r="D261" t="inlineStr">
        <is>
          <t>monthly</t>
        </is>
      </c>
      <c r="E261" t="inlineStr">
        <is>
          <t>Flat</t>
        </is>
      </c>
      <c r="F261" t="n">
        <v>2</v>
      </c>
      <c r="G261" t="n">
        <v>1</v>
      </c>
      <c r="H261" t="inlineStr">
        <is>
          <t>Maplecroft Close, London, E6</t>
        </is>
      </c>
      <c r="I261" t="inlineStr">
        <is>
          <t>The property is set in a fantastic location close to the amenities, transport links and greenspaces of as well as good local schools in the area.</t>
        </is>
      </c>
      <c r="J261" t="inlineStr">
        <is>
          <t>https://www.rightmove.co.uk/properties/87318057#/?channel=RES_LET</t>
        </is>
      </c>
      <c r="K261" t="inlineStr">
        <is>
          <t>/property-to-rent/contactBranch.html?propertyId=87318057</t>
        </is>
      </c>
      <c r="L261" t="inlineStr">
        <is>
          <t>Barrain London Estate Agents, Docklands</t>
        </is>
      </c>
      <c r="M261" t="n">
        <v>249296</v>
      </c>
      <c r="N261" t="inlineStr">
        <is>
          <t>Added on 07/10/2025</t>
        </is>
      </c>
      <c r="O261" t="inlineStr">
        <is>
          <t>2025-10-14T16:19:34Z</t>
        </is>
      </c>
      <c r="Q261" t="inlineStr">
        <is>
          <t>E6</t>
        </is>
      </c>
      <c r="R261" t="inlineStr">
        <is>
          <t>2025-10-16T17:42:27.287703</t>
        </is>
      </c>
      <c r="S261" t="inlineStr">
        <is>
          <t>{'let available date': '20/11/2025', 'deposit': '£1,961', 'min. tenancy': 'Ask agent', 'let type': 'Long term', 'furnish type': 'Part furnished', 'council tax': 'Ask agent'}</t>
        </is>
      </c>
      <c r="T261" t="n">
        <v>549</v>
      </c>
      <c r="U261" t="n">
        <v>51</v>
      </c>
      <c r="V261" t="b">
        <v>1</v>
      </c>
      <c r="X261" t="n">
        <v>16.03</v>
      </c>
      <c r="Y261" t="n">
        <v>42.6</v>
      </c>
      <c r="Z261">
        <f>IF(AND(ISNUMBER(B261), ISNUMBER(MIN(B$2:B$486)), ISNUMBER(MAX(B$2:B$486))), IF(MAX(B$2:B$486)=MIN(B$2:B$486), 50, ROUND((MAX(B$2:B$486)-B261)/(MAX(B$2:B$486)-MIN(B$2:B$486))*100, 2)), "")</f>
        <v/>
      </c>
      <c r="AA261">
        <f>IF(AND(ISNUMBER(X261), ISNUMBER(MIN(X$2:X$486)), ISNUMBER(MAX(X$2:X$486))), IF(MAX(X$2:X$486)=MIN(X$2:X$486), 50, ROUND((MAX(X$2:X$486)-X261)/(MAX(X$2:X$486)-MIN(X$2:X$486))*100, 2)), "")</f>
        <v/>
      </c>
      <c r="AB261">
        <f>IF(AND(ISNUMBER(U261), ISNUMBER(MIN(U$2:U$486)), ISNUMBER(MAX(U$2:U$486))), IF(MAX(U$2:U$486)=MIN(U$2:U$486), 50, ROUND((U261-MIN(U$2:U$486))/(MAX(U$2:U$486)-MIN(U$2:U$486))*100, 2)), "")</f>
        <v/>
      </c>
      <c r="AC261">
        <f>IF(AND(ISNUMBER(Z261), ISNUMBER(AA261), ISNUMBER(AB261)), ROUND((Z261+AA261+AB261)/3, 2), "")</f>
        <v/>
      </c>
    </row>
    <row r="262">
      <c r="A262" t="n">
        <v>167906696</v>
      </c>
      <c r="B262" t="n">
        <v>1695</v>
      </c>
      <c r="C262" t="inlineStr">
        <is>
          <t>£1,695 pcm</t>
        </is>
      </c>
      <c r="D262" t="inlineStr">
        <is>
          <t>monthly</t>
        </is>
      </c>
      <c r="E262" t="inlineStr">
        <is>
          <t>Flat</t>
        </is>
      </c>
      <c r="F262" t="n">
        <v>2</v>
      </c>
      <c r="G262" t="n">
        <v>1</v>
      </c>
      <c r="H262" t="inlineStr">
        <is>
          <t>Gleneldon Road, Streatham, SW16</t>
        </is>
      </c>
      <c r="I262" t="inlineStr">
        <is>
          <t>Two Bedroom Flat with a Balcony in the heart of Streatham. Available from 21st October. Moving Inn are proud to present this cosy 2 bed flat located on Gleneldon Road in the heart of Streatham.</t>
        </is>
      </c>
      <c r="J262" t="inlineStr">
        <is>
          <t>https://www.rightmove.co.uk/properties/167906696#/?channel=RES_LET</t>
        </is>
      </c>
      <c r="K262" t="inlineStr">
        <is>
          <t>/property-to-rent/contactBranch.html?propertyId=167906696</t>
        </is>
      </c>
      <c r="L262" t="inlineStr">
        <is>
          <t>Moving Inn, London</t>
        </is>
      </c>
      <c r="M262" t="n">
        <v>91850</v>
      </c>
      <c r="N262" t="inlineStr">
        <is>
          <t>Added on 07/10/2025</t>
        </is>
      </c>
      <c r="O262" t="inlineStr">
        <is>
          <t>2025-10-07T12:41:20Z</t>
        </is>
      </c>
      <c r="Q262" t="inlineStr">
        <is>
          <t>SW16</t>
        </is>
      </c>
      <c r="R262" t="inlineStr">
        <is>
          <t>2025-10-16T17:42:27.287708</t>
        </is>
      </c>
      <c r="S262" t="inlineStr">
        <is>
          <t>{'let available date': '21/10/2025', 'deposit': '£1,955', 'min. tenancy': '12 months', 'let type': 'Long term', 'furnish type': 'Ask agent', 'council tax': 'Ask agent'}</t>
        </is>
      </c>
      <c r="T262" t="n">
        <v>474</v>
      </c>
      <c r="U262" t="n">
        <v>44</v>
      </c>
      <c r="V262" t="b">
        <v>1</v>
      </c>
      <c r="X262" t="n">
        <v>12.65</v>
      </c>
      <c r="Y262" t="n">
        <v>45.8</v>
      </c>
      <c r="Z262">
        <f>IF(AND(ISNUMBER(B262), ISNUMBER(MIN(B$2:B$486)), ISNUMBER(MAX(B$2:B$486))), IF(MAX(B$2:B$486)=MIN(B$2:B$486), 50, ROUND((MAX(B$2:B$486)-B262)/(MAX(B$2:B$486)-MIN(B$2:B$486))*100, 2)), "")</f>
        <v/>
      </c>
      <c r="AA262">
        <f>IF(AND(ISNUMBER(X262), ISNUMBER(MIN(X$2:X$486)), ISNUMBER(MAX(X$2:X$486))), IF(MAX(X$2:X$486)=MIN(X$2:X$486), 50, ROUND((MAX(X$2:X$486)-X262)/(MAX(X$2:X$486)-MIN(X$2:X$486))*100, 2)), "")</f>
        <v/>
      </c>
      <c r="AB262">
        <f>IF(AND(ISNUMBER(U262), ISNUMBER(MIN(U$2:U$486)), ISNUMBER(MAX(U$2:U$486))), IF(MAX(U$2:U$486)=MIN(U$2:U$486), 50, ROUND((U262-MIN(U$2:U$486))/(MAX(U$2:U$486)-MIN(U$2:U$486))*100, 2)), "")</f>
        <v/>
      </c>
      <c r="AC262">
        <f>IF(AND(ISNUMBER(Z262), ISNUMBER(AA262), ISNUMBER(AB262)), ROUND((Z262+AA262+AB262)/3, 2), "")</f>
        <v/>
      </c>
    </row>
    <row r="263">
      <c r="A263" t="n">
        <v>167441003</v>
      </c>
      <c r="B263" t="n">
        <v>1750</v>
      </c>
      <c r="C263" t="inlineStr">
        <is>
          <t>£1,750 pcm</t>
        </is>
      </c>
      <c r="D263" t="inlineStr">
        <is>
          <t>monthly</t>
        </is>
      </c>
      <c r="E263" t="inlineStr">
        <is>
          <t>Flat</t>
        </is>
      </c>
      <c r="F263" t="n">
        <v>2</v>
      </c>
      <c r="G263" t="n">
        <v>1</v>
      </c>
      <c r="H263" t="inlineStr">
        <is>
          <t>Thicket Road, Sutton, SM1</t>
        </is>
      </c>
      <c r="I263" t="inlineStr">
        <is>
          <t>ZERO DEPOSIT AVAILABLE. LONG LET. Offering bright and spacious accommodation, this fantastic 2 bedroom 1st floor apartment boasts a generous reception room, separate modern kitchen, well-sized bedrooms and a sleek bathroom.</t>
        </is>
      </c>
      <c r="J263" t="inlineStr">
        <is>
          <t>https://www.rightmove.co.uk/properties/167441003#/?channel=RES_LET</t>
        </is>
      </c>
      <c r="K263" t="inlineStr">
        <is>
          <t>/property-to-rent/contactBranch.html?propertyId=167441003</t>
        </is>
      </c>
      <c r="L263" t="inlineStr">
        <is>
          <t>Foxtons, New Malden</t>
        </is>
      </c>
      <c r="M263" t="n">
        <v>149153</v>
      </c>
      <c r="N263" t="inlineStr">
        <is>
          <t>Reduced on 07/10/2025</t>
        </is>
      </c>
      <c r="O263" t="inlineStr">
        <is>
          <t>2025-09-25T18:46:48Z</t>
        </is>
      </c>
      <c r="Q263" t="inlineStr">
        <is>
          <t>SM1</t>
        </is>
      </c>
      <c r="R263" t="inlineStr">
        <is>
          <t>2025-10-16T17:42:27.287712</t>
        </is>
      </c>
      <c r="S263" t="inlineStr">
        <is>
          <t>{'let available date': 'Ask agent', 'deposit': '£2,020', 'min. tenancy': 'Ask agent', 'let type': 'Long term', 'furnish type': 'Furnished or unfurnished, landlord is flexible', 'council tax': 'Ask agent'}</t>
        </is>
      </c>
      <c r="T263" t="n">
        <v>661</v>
      </c>
      <c r="U263" t="n">
        <v>61</v>
      </c>
      <c r="V263" t="b">
        <v>1</v>
      </c>
      <c r="X263" t="n">
        <v>20.15</v>
      </c>
      <c r="Y263" t="n">
        <v>60.7</v>
      </c>
      <c r="Z263">
        <f>IF(AND(ISNUMBER(B263), ISNUMBER(MIN(B$2:B$486)), ISNUMBER(MAX(B$2:B$486))), IF(MAX(B$2:B$486)=MIN(B$2:B$486), 50, ROUND((MAX(B$2:B$486)-B263)/(MAX(B$2:B$486)-MIN(B$2:B$486))*100, 2)), "")</f>
        <v/>
      </c>
      <c r="AA263">
        <f>IF(AND(ISNUMBER(X263), ISNUMBER(MIN(X$2:X$486)), ISNUMBER(MAX(X$2:X$486))), IF(MAX(X$2:X$486)=MIN(X$2:X$486), 50, ROUND((MAX(X$2:X$486)-X263)/(MAX(X$2:X$486)-MIN(X$2:X$486))*100, 2)), "")</f>
        <v/>
      </c>
      <c r="AB263">
        <f>IF(AND(ISNUMBER(U263), ISNUMBER(MIN(U$2:U$486)), ISNUMBER(MAX(U$2:U$486))), IF(MAX(U$2:U$486)=MIN(U$2:U$486), 50, ROUND((U263-MIN(U$2:U$486))/(MAX(U$2:U$486)-MIN(U$2:U$486))*100, 2)), "")</f>
        <v/>
      </c>
      <c r="AC263">
        <f>IF(AND(ISNUMBER(Z263), ISNUMBER(AA263), ISNUMBER(AB263)), ROUND((Z263+AA263+AB263)/3, 2), "")</f>
        <v/>
      </c>
    </row>
    <row r="264">
      <c r="A264" t="n">
        <v>167728922</v>
      </c>
      <c r="B264" t="n">
        <v>1700</v>
      </c>
      <c r="C264" t="inlineStr">
        <is>
          <t>£1,700 pcm</t>
        </is>
      </c>
      <c r="D264" t="inlineStr">
        <is>
          <t>monthly</t>
        </is>
      </c>
      <c r="E264" t="inlineStr">
        <is>
          <t>Flat</t>
        </is>
      </c>
      <c r="F264" t="n">
        <v>2</v>
      </c>
      <c r="G264" t="n">
        <v>1</v>
      </c>
      <c r="H264" t="inlineStr">
        <is>
          <t>Clive Road, London, SE21</t>
        </is>
      </c>
      <c r="I264" t="inlineStr">
        <is>
          <t>**Pay less upfront with Zero Deposit Guarantee** A great size two double bedroom flat to rent close to local amenities and transport links.</t>
        </is>
      </c>
      <c r="J264" t="inlineStr">
        <is>
          <t>https://www.rightmove.co.uk/properties/167728922#/?channel=RES_LET</t>
        </is>
      </c>
      <c r="K264" t="inlineStr">
        <is>
          <t>/property-to-rent/contactBranch.html?propertyId=167728922</t>
        </is>
      </c>
      <c r="L264" t="inlineStr">
        <is>
          <t>Kinleigh Folkard &amp; Hayward - Lettings, East Dulwich</t>
        </is>
      </c>
      <c r="M264" t="n">
        <v>57994</v>
      </c>
      <c r="N264" t="inlineStr">
        <is>
          <t>Reduced on 07/10/2025</t>
        </is>
      </c>
      <c r="O264" t="inlineStr">
        <is>
          <t>2025-10-02T16:56:42Z</t>
        </is>
      </c>
      <c r="Q264" t="inlineStr">
        <is>
          <t>SE21</t>
        </is>
      </c>
      <c r="R264" t="inlineStr">
        <is>
          <t>2025-10-16T17:42:27.287717</t>
        </is>
      </c>
      <c r="S264" t="inlineStr">
        <is>
          <t>{'let available date': 'Now', 'deposit': '£1,961', 'min. tenancy': 'Ask agent', 'let type': 'Long term', 'furnish type': 'Furnished', 'council tax': 'Ask agent'}</t>
        </is>
      </c>
      <c r="V264" t="b">
        <v>1</v>
      </c>
      <c r="X264" t="n">
        <v>11.1</v>
      </c>
      <c r="Y264" t="n">
        <v>40.7</v>
      </c>
      <c r="Z264">
        <f>IF(AND(ISNUMBER(B264), ISNUMBER(MIN(B$2:B$486)), ISNUMBER(MAX(B$2:B$486))), IF(MAX(B$2:B$486)=MIN(B$2:B$486), 50, ROUND((MAX(B$2:B$486)-B264)/(MAX(B$2:B$486)-MIN(B$2:B$486))*100, 2)), "")</f>
        <v/>
      </c>
      <c r="AA264">
        <f>IF(AND(ISNUMBER(X264), ISNUMBER(MIN(X$2:X$486)), ISNUMBER(MAX(X$2:X$486))), IF(MAX(X$2:X$486)=MIN(X$2:X$486), 50, ROUND((MAX(X$2:X$486)-X264)/(MAX(X$2:X$486)-MIN(X$2:X$486))*100, 2)), "")</f>
        <v/>
      </c>
      <c r="AB264">
        <f>IF(AND(ISNUMBER(U264), ISNUMBER(MIN(U$2:U$486)), ISNUMBER(MAX(U$2:U$486))), IF(MAX(U$2:U$486)=MIN(U$2:U$486), 50, ROUND((U264-MIN(U$2:U$486))/(MAX(U$2:U$486)-MIN(U$2:U$486))*100, 2)), "")</f>
        <v/>
      </c>
      <c r="AC264">
        <f>IF(AND(ISNUMBER(Z264), ISNUMBER(AA264), ISNUMBER(AB264)), ROUND((Z264+AA264+AB264)/3, 2), "")</f>
        <v/>
      </c>
    </row>
    <row r="265">
      <c r="A265" t="n">
        <v>167903255</v>
      </c>
      <c r="B265" t="n">
        <v>1700</v>
      </c>
      <c r="C265" t="inlineStr">
        <is>
          <t>£1,700 pcm</t>
        </is>
      </c>
      <c r="D265" t="inlineStr">
        <is>
          <t>monthly</t>
        </is>
      </c>
      <c r="E265" t="inlineStr">
        <is>
          <t>Apartment</t>
        </is>
      </c>
      <c r="F265" t="n">
        <v>2</v>
      </c>
      <c r="G265" t="n">
        <v>1</v>
      </c>
      <c r="H265" t="inlineStr">
        <is>
          <t>Homefield Park Sutton SM1</t>
        </is>
      </c>
      <c r="I265" t="inlineStr">
        <is>
          <t>OPEN DAY: FURNISHED spacious two bedroom apartment in popular development, 5 minutes walk to Sutton station, this includes a garage en bloc.</t>
        </is>
      </c>
      <c r="J265" t="inlineStr">
        <is>
          <t>https://www.rightmove.co.uk/properties/167903255#/?channel=RES_LET</t>
        </is>
      </c>
      <c r="K265" t="inlineStr">
        <is>
          <t>/property-to-rent/contactBranch.html?propertyId=167903255</t>
        </is>
      </c>
      <c r="L265" t="inlineStr">
        <is>
          <t>Cubitt &amp; West Residential Lettings, Sutton</t>
        </is>
      </c>
      <c r="M265" t="n">
        <v>82928</v>
      </c>
      <c r="N265" t="inlineStr">
        <is>
          <t>Added on 07/10/2025</t>
        </is>
      </c>
      <c r="O265" t="inlineStr">
        <is>
          <t>2025-10-07T11:55:57Z</t>
        </is>
      </c>
      <c r="Q265" t="inlineStr">
        <is>
          <t>SM1</t>
        </is>
      </c>
      <c r="R265" t="inlineStr">
        <is>
          <t>2025-10-16T17:42:27.287721</t>
        </is>
      </c>
      <c r="S265" t="inlineStr">
        <is>
          <t>{'let available date': 'Now', 'deposit': '£1,962', 'min. tenancy': 'Ask agent', 'let type': 'Long term', 'furnish type': 'Furnished', 'council tax': 'Ask agent'}</t>
        </is>
      </c>
      <c r="V265" t="b">
        <v>1</v>
      </c>
      <c r="X265" t="n">
        <v>20.15</v>
      </c>
      <c r="Y265" t="n">
        <v>60.7</v>
      </c>
      <c r="Z265">
        <f>IF(AND(ISNUMBER(B265), ISNUMBER(MIN(B$2:B$486)), ISNUMBER(MAX(B$2:B$486))), IF(MAX(B$2:B$486)=MIN(B$2:B$486), 50, ROUND((MAX(B$2:B$486)-B265)/(MAX(B$2:B$486)-MIN(B$2:B$486))*100, 2)), "")</f>
        <v/>
      </c>
      <c r="AA265">
        <f>IF(AND(ISNUMBER(X265), ISNUMBER(MIN(X$2:X$486)), ISNUMBER(MAX(X$2:X$486))), IF(MAX(X$2:X$486)=MIN(X$2:X$486), 50, ROUND((MAX(X$2:X$486)-X265)/(MAX(X$2:X$486)-MIN(X$2:X$486))*100, 2)), "")</f>
        <v/>
      </c>
      <c r="AB265">
        <f>IF(AND(ISNUMBER(U265), ISNUMBER(MIN(U$2:U$486)), ISNUMBER(MAX(U$2:U$486))), IF(MAX(U$2:U$486)=MIN(U$2:U$486), 50, ROUND((U265-MIN(U$2:U$486))/(MAX(U$2:U$486)-MIN(U$2:U$486))*100, 2)), "")</f>
        <v/>
      </c>
      <c r="AC265">
        <f>IF(AND(ISNUMBER(Z265), ISNUMBER(AA265), ISNUMBER(AB265)), ROUND((Z265+AA265+AB265)/3, 2), "")</f>
        <v/>
      </c>
    </row>
    <row r="266">
      <c r="A266" t="n">
        <v>167898998</v>
      </c>
      <c r="B266" t="n">
        <v>1500</v>
      </c>
      <c r="C266" t="inlineStr">
        <is>
          <t>£1,500 pcm</t>
        </is>
      </c>
      <c r="D266" t="inlineStr">
        <is>
          <t>monthly</t>
        </is>
      </c>
      <c r="E266" t="inlineStr">
        <is>
          <t>Ground Flat</t>
        </is>
      </c>
      <c r="F266" t="n">
        <v>2</v>
      </c>
      <c r="G266" t="n">
        <v>1</v>
      </c>
      <c r="H266" t="inlineStr">
        <is>
          <t>Rockmount Road, London, SE18</t>
        </is>
      </c>
      <c r="I266" t="inlineStr">
        <is>
          <t>Spacious 2-bed ground floor flat in desirable location. Private garden, bay windows, separate kitchen, modern bathroom. Gas central heating, on-street parking. Council Tax Band A, EPC rating D (66).</t>
        </is>
      </c>
      <c r="J266" t="inlineStr">
        <is>
          <t>https://www.rightmove.co.uk/properties/167898998#/?channel=RES_LET</t>
        </is>
      </c>
      <c r="K266" t="inlineStr">
        <is>
          <t>/property-to-rent/contactBranch.html?propertyId=167898998</t>
        </is>
      </c>
      <c r="L266" t="inlineStr">
        <is>
          <t>Kallars, London</t>
        </is>
      </c>
      <c r="M266" t="n">
        <v>289823</v>
      </c>
      <c r="N266" t="inlineStr">
        <is>
          <t>Added on 07/10/2025</t>
        </is>
      </c>
      <c r="O266" t="inlineStr">
        <is>
          <t>2025-10-07T11:02:39Z</t>
        </is>
      </c>
      <c r="Q266" t="inlineStr">
        <is>
          <t>SE18</t>
        </is>
      </c>
      <c r="R266" t="inlineStr">
        <is>
          <t>2025-10-16T17:42:27.287726</t>
        </is>
      </c>
      <c r="S266" t="inlineStr">
        <is>
          <t>{'let available date': '18/10/2025', 'deposit': '£1,730', 'min. tenancy': '12 months', 'let type': 'Long term', 'furnish type': 'Unfurnished', 'council tax': 'Ask agent'}</t>
        </is>
      </c>
      <c r="T266" t="n">
        <v>786</v>
      </c>
      <c r="U266" t="n">
        <v>73</v>
      </c>
      <c r="V266" t="b">
        <v>1</v>
      </c>
      <c r="X266" t="n">
        <v>20.83</v>
      </c>
      <c r="Y266" t="n">
        <v>51.8</v>
      </c>
      <c r="Z266">
        <f>IF(AND(ISNUMBER(B266), ISNUMBER(MIN(B$2:B$486)), ISNUMBER(MAX(B$2:B$486))), IF(MAX(B$2:B$486)=MIN(B$2:B$486), 50, ROUND((MAX(B$2:B$486)-B266)/(MAX(B$2:B$486)-MIN(B$2:B$486))*100, 2)), "")</f>
        <v/>
      </c>
      <c r="AA266">
        <f>IF(AND(ISNUMBER(X266), ISNUMBER(MIN(X$2:X$486)), ISNUMBER(MAX(X$2:X$486))), IF(MAX(X$2:X$486)=MIN(X$2:X$486), 50, ROUND((MAX(X$2:X$486)-X266)/(MAX(X$2:X$486)-MIN(X$2:X$486))*100, 2)), "")</f>
        <v/>
      </c>
      <c r="AB266">
        <f>IF(AND(ISNUMBER(U266), ISNUMBER(MIN(U$2:U$486)), ISNUMBER(MAX(U$2:U$486))), IF(MAX(U$2:U$486)=MIN(U$2:U$486), 50, ROUND((U266-MIN(U$2:U$486))/(MAX(U$2:U$486)-MIN(U$2:U$486))*100, 2)), "")</f>
        <v/>
      </c>
      <c r="AC266">
        <f>IF(AND(ISNUMBER(Z266), ISNUMBER(AA266), ISNUMBER(AB266)), ROUND((Z266+AA266+AB266)/3, 2), "")</f>
        <v/>
      </c>
    </row>
    <row r="267">
      <c r="A267" t="n">
        <v>167676620</v>
      </c>
      <c r="B267" t="n">
        <v>1700</v>
      </c>
      <c r="C267" t="inlineStr">
        <is>
          <t>£1,700 pcm</t>
        </is>
      </c>
      <c r="D267" t="inlineStr">
        <is>
          <t>monthly</t>
        </is>
      </c>
      <c r="E267" t="inlineStr">
        <is>
          <t>Flat</t>
        </is>
      </c>
      <c r="F267" t="n">
        <v>2</v>
      </c>
      <c r="G267" t="n">
        <v>1</v>
      </c>
      <c r="H267" t="inlineStr">
        <is>
          <t>Clive Road, London</t>
        </is>
      </c>
      <c r="I267" t="inlineStr">
        <is>
          <t>This well presented first floor flat located on this prime residential road, the property comprises of entrance hall, fully fitted kitchen, shower room, lounge and two double bedrooms. Other benefits include private balcony, gas central heating and double glazed windows. Viewings highly...</t>
        </is>
      </c>
      <c r="J267" t="inlineStr">
        <is>
          <t>https://www.rightmove.co.uk/properties/167676620#/?channel=RES_LET</t>
        </is>
      </c>
      <c r="K267" t="inlineStr">
        <is>
          <t>/property-to-rent/contactBranch.html?propertyId=167676620</t>
        </is>
      </c>
      <c r="L267" t="inlineStr">
        <is>
          <t>Stapleton Long, West Norwood</t>
        </is>
      </c>
      <c r="M267" t="n">
        <v>11065</v>
      </c>
      <c r="N267" t="inlineStr">
        <is>
          <t>Reduced on 07/10/2025</t>
        </is>
      </c>
      <c r="O267" t="inlineStr">
        <is>
          <t>2025-10-01T16:06:43Z</t>
        </is>
      </c>
      <c r="R267" t="inlineStr">
        <is>
          <t>2025-10-16T17:42:27.287731</t>
        </is>
      </c>
      <c r="S267" t="inlineStr">
        <is>
          <t>{'let available date': 'Now', 'deposit': '£1,961', 'min. tenancy': 'Ask agent', 'let type': 'Long term', 'furnish type': 'Unfurnished', 'council tax': 'Ask agent'}</t>
        </is>
      </c>
      <c r="T267" t="n">
        <v>646</v>
      </c>
      <c r="U267" t="n">
        <v>60</v>
      </c>
      <c r="V267" t="b">
        <v>1</v>
      </c>
      <c r="X267" t="n">
        <v>11.57</v>
      </c>
      <c r="Y267" t="n">
        <v>40.5</v>
      </c>
      <c r="Z267">
        <f>IF(AND(ISNUMBER(B267), ISNUMBER(MIN(B$2:B$486)), ISNUMBER(MAX(B$2:B$486))), IF(MAX(B$2:B$486)=MIN(B$2:B$486), 50, ROUND((MAX(B$2:B$486)-B267)/(MAX(B$2:B$486)-MIN(B$2:B$486))*100, 2)), "")</f>
        <v/>
      </c>
      <c r="AA267">
        <f>IF(AND(ISNUMBER(X267), ISNUMBER(MIN(X$2:X$486)), ISNUMBER(MAX(X$2:X$486))), IF(MAX(X$2:X$486)=MIN(X$2:X$486), 50, ROUND((MAX(X$2:X$486)-X267)/(MAX(X$2:X$486)-MIN(X$2:X$486))*100, 2)), "")</f>
        <v/>
      </c>
      <c r="AB267">
        <f>IF(AND(ISNUMBER(U267), ISNUMBER(MIN(U$2:U$486)), ISNUMBER(MAX(U$2:U$486))), IF(MAX(U$2:U$486)=MIN(U$2:U$486), 50, ROUND((U267-MIN(U$2:U$486))/(MAX(U$2:U$486)-MIN(U$2:U$486))*100, 2)), "")</f>
        <v/>
      </c>
      <c r="AC267">
        <f>IF(AND(ISNUMBER(Z267), ISNUMBER(AA267), ISNUMBER(AB267)), ROUND((Z267+AA267+AB267)/3, 2), "")</f>
        <v/>
      </c>
    </row>
    <row r="268">
      <c r="A268" t="n">
        <v>167666546</v>
      </c>
      <c r="B268" t="n">
        <v>1675</v>
      </c>
      <c r="C268" t="inlineStr">
        <is>
          <t>£1,675 pcm</t>
        </is>
      </c>
      <c r="D268" t="inlineStr">
        <is>
          <t>monthly</t>
        </is>
      </c>
      <c r="E268" t="inlineStr">
        <is>
          <t>Flat</t>
        </is>
      </c>
      <c r="F268" t="n">
        <v>2</v>
      </c>
      <c r="G268" t="n">
        <v>1</v>
      </c>
      <c r="H268" t="inlineStr">
        <is>
          <t>Mansard Manor Christchurch Park, Sutton, Surrey, SM2</t>
        </is>
      </c>
      <c r="I268" t="inlineStr">
        <is>
          <t>Two-Bedroom Purpose-Built Apartment – Prime South Sutton Location Situated on a sought-after road in South Sutton, this well-presented two-bedroom purpose-built apartment offers both comfort and convenience. Ideally located within walking distance of Sutton mainline station and t...</t>
        </is>
      </c>
      <c r="J268" t="inlineStr">
        <is>
          <t>https://www.rightmove.co.uk/properties/167666546#/?channel=RES_LET</t>
        </is>
      </c>
      <c r="K268" t="inlineStr">
        <is>
          <t>/property-to-rent/contactBranch.html?propertyId=167666546</t>
        </is>
      </c>
      <c r="L268" t="inlineStr">
        <is>
          <t>Your Move, Sutton</t>
        </is>
      </c>
      <c r="M268" t="n">
        <v>6592</v>
      </c>
      <c r="N268" t="inlineStr">
        <is>
          <t>Reduced on 07/10/2025</t>
        </is>
      </c>
      <c r="O268" t="inlineStr">
        <is>
          <t>2025-10-01T13:54:11Z</t>
        </is>
      </c>
      <c r="Q268" t="inlineStr">
        <is>
          <t>SM2</t>
        </is>
      </c>
      <c r="R268" t="inlineStr">
        <is>
          <t>2025-10-16T17:42:27.287742</t>
        </is>
      </c>
      <c r="S268" t="inlineStr">
        <is>
          <t>{'let available date': '23/10/2025', 'deposit': '£1,930', 'min. tenancy': '6 months', 'let type': 'Long term', 'furnish type': 'Unfurnished', 'council tax': 'Ask agent'}</t>
        </is>
      </c>
      <c r="V268" t="b">
        <v>1</v>
      </c>
      <c r="X268" t="n">
        <v>24.26</v>
      </c>
      <c r="Y268" t="n">
        <v>66.3</v>
      </c>
      <c r="Z268">
        <f>IF(AND(ISNUMBER(B268), ISNUMBER(MIN(B$2:B$486)), ISNUMBER(MAX(B$2:B$486))), IF(MAX(B$2:B$486)=MIN(B$2:B$486), 50, ROUND((MAX(B$2:B$486)-B268)/(MAX(B$2:B$486)-MIN(B$2:B$486))*100, 2)), "")</f>
        <v/>
      </c>
      <c r="AA268">
        <f>IF(AND(ISNUMBER(X268), ISNUMBER(MIN(X$2:X$486)), ISNUMBER(MAX(X$2:X$486))), IF(MAX(X$2:X$486)=MIN(X$2:X$486), 50, ROUND((MAX(X$2:X$486)-X268)/(MAX(X$2:X$486)-MIN(X$2:X$486))*100, 2)), "")</f>
        <v/>
      </c>
      <c r="AB268">
        <f>IF(AND(ISNUMBER(U268), ISNUMBER(MIN(U$2:U$486)), ISNUMBER(MAX(U$2:U$486))), IF(MAX(U$2:U$486)=MIN(U$2:U$486), 50, ROUND((U268-MIN(U$2:U$486))/(MAX(U$2:U$486)-MIN(U$2:U$486))*100, 2)), "")</f>
        <v/>
      </c>
      <c r="AC268">
        <f>IF(AND(ISNUMBER(Z268), ISNUMBER(AA268), ISNUMBER(AB268)), ROUND((Z268+AA268+AB268)/3, 2), "")</f>
        <v/>
      </c>
    </row>
    <row r="269">
      <c r="A269" t="n">
        <v>166586132</v>
      </c>
      <c r="B269" t="n">
        <v>1700</v>
      </c>
      <c r="C269" t="inlineStr">
        <is>
          <t>£1,700 pcm</t>
        </is>
      </c>
      <c r="D269" t="inlineStr">
        <is>
          <t>monthly</t>
        </is>
      </c>
      <c r="E269" t="inlineStr">
        <is>
          <t>Flat</t>
        </is>
      </c>
      <c r="F269" t="n">
        <v>2</v>
      </c>
      <c r="G269" t="n">
        <v>1</v>
      </c>
      <c r="H269" t="inlineStr">
        <is>
          <t>Davern Close, Greenwich</t>
        </is>
      </c>
      <c r="I269" t="inlineStr">
        <is>
          <t>A two double bedroom first floor apartment including a separate living space, ample storage and modern features throughout.</t>
        </is>
      </c>
      <c r="J269" t="inlineStr">
        <is>
          <t>https://www.rightmove.co.uk/properties/166586132#/?channel=RES_LET</t>
        </is>
      </c>
      <c r="K269" t="inlineStr">
        <is>
          <t>/property-to-rent/contactBranch.html?propertyId=166586132</t>
        </is>
      </c>
      <c r="L269" t="inlineStr">
        <is>
          <t>Dexters, Greenwich</t>
        </is>
      </c>
      <c r="M269" t="n">
        <v>257069</v>
      </c>
      <c r="N269" t="inlineStr">
        <is>
          <t>Reduced on 07/10/2025</t>
        </is>
      </c>
      <c r="O269" t="inlineStr">
        <is>
          <t>2025-09-04T13:37:23Z</t>
        </is>
      </c>
      <c r="R269" t="inlineStr">
        <is>
          <t>2025-10-16T17:42:28.749681</t>
        </is>
      </c>
      <c r="S269" t="inlineStr">
        <is>
          <t>{'let available date': 'Ask agent', 'deposit': '£2,019', 'min. tenancy': 'Ask agent', 'let type': 'Long term', 'furnish type': 'Furnished', 'council tax': 'Ask agent'}</t>
        </is>
      </c>
      <c r="V269" t="b">
        <v>1</v>
      </c>
      <c r="X269" t="n">
        <v>14.46</v>
      </c>
      <c r="Y269" t="n">
        <v>42.3</v>
      </c>
      <c r="Z269">
        <f>IF(AND(ISNUMBER(B269), ISNUMBER(MIN(B$2:B$486)), ISNUMBER(MAX(B$2:B$486))), IF(MAX(B$2:B$486)=MIN(B$2:B$486), 50, ROUND((MAX(B$2:B$486)-B269)/(MAX(B$2:B$486)-MIN(B$2:B$486))*100, 2)), "")</f>
        <v/>
      </c>
      <c r="AA269">
        <f>IF(AND(ISNUMBER(X269), ISNUMBER(MIN(X$2:X$486)), ISNUMBER(MAX(X$2:X$486))), IF(MAX(X$2:X$486)=MIN(X$2:X$486), 50, ROUND((MAX(X$2:X$486)-X269)/(MAX(X$2:X$486)-MIN(X$2:X$486))*100, 2)), "")</f>
        <v/>
      </c>
      <c r="AB269">
        <f>IF(AND(ISNUMBER(U269), ISNUMBER(MIN(U$2:U$486)), ISNUMBER(MAX(U$2:U$486))), IF(MAX(U$2:U$486)=MIN(U$2:U$486), 50, ROUND((U269-MIN(U$2:U$486))/(MAX(U$2:U$486)-MIN(U$2:U$486))*100, 2)), "")</f>
        <v/>
      </c>
      <c r="AC269">
        <f>IF(AND(ISNUMBER(Z269), ISNUMBER(AA269), ISNUMBER(AB269)), ROUND((Z269+AA269+AB269)/3, 2), "")</f>
        <v/>
      </c>
    </row>
    <row r="270">
      <c r="A270" t="n">
        <v>165356642</v>
      </c>
      <c r="B270" t="n">
        <v>1700</v>
      </c>
      <c r="C270" t="inlineStr">
        <is>
          <t>£1,700 pcm</t>
        </is>
      </c>
      <c r="D270" t="inlineStr">
        <is>
          <t>monthly</t>
        </is>
      </c>
      <c r="E270" t="inlineStr">
        <is>
          <t>Flat</t>
        </is>
      </c>
      <c r="F270" t="n">
        <v>2</v>
      </c>
      <c r="G270" t="n">
        <v>1</v>
      </c>
      <c r="H270" t="inlineStr">
        <is>
          <t>Wickham Road, London</t>
        </is>
      </c>
      <c r="I270" t="inlineStr">
        <is>
          <t>A recently renovated and modern two double bedroom apartment to rent in this popular building within easy distance to Brockley Station.</t>
        </is>
      </c>
      <c r="J270" t="inlineStr">
        <is>
          <t>https://www.rightmove.co.uk/properties/165356642#/?channel=RES_LET</t>
        </is>
      </c>
      <c r="K270" t="inlineStr">
        <is>
          <t>/property-to-rent/contactBranch.html?propertyId=165356642</t>
        </is>
      </c>
      <c r="L270" t="inlineStr">
        <is>
          <t>Allen Goldstein, Bloomsbury</t>
        </is>
      </c>
      <c r="M270" t="n">
        <v>112351</v>
      </c>
      <c r="N270" t="inlineStr">
        <is>
          <t>Reduced on 07/10/2025</t>
        </is>
      </c>
      <c r="O270" t="inlineStr">
        <is>
          <t>2025-08-05T00:43:24Z</t>
        </is>
      </c>
      <c r="R270" t="inlineStr">
        <is>
          <t>2025-10-16T17:42:28.749685</t>
        </is>
      </c>
      <c r="S270" t="inlineStr">
        <is>
          <t>{'let available date': 'Now', 'deposit': '£1,961', 'min. tenancy': 'Ask agent', 'let type': 'Long term', 'furnish type': 'Furnished', 'council tax': 'Ask agent'}</t>
        </is>
      </c>
      <c r="T270" t="n">
        <v>484</v>
      </c>
      <c r="U270" t="n">
        <v>45</v>
      </c>
      <c r="V270" t="b">
        <v>1</v>
      </c>
      <c r="X270" t="n">
        <v>11</v>
      </c>
      <c r="Y270" t="n">
        <v>40.8</v>
      </c>
      <c r="Z270">
        <f>IF(AND(ISNUMBER(B270), ISNUMBER(MIN(B$2:B$486)), ISNUMBER(MAX(B$2:B$486))), IF(MAX(B$2:B$486)=MIN(B$2:B$486), 50, ROUND((MAX(B$2:B$486)-B270)/(MAX(B$2:B$486)-MIN(B$2:B$486))*100, 2)), "")</f>
        <v/>
      </c>
      <c r="AA270">
        <f>IF(AND(ISNUMBER(X270), ISNUMBER(MIN(X$2:X$486)), ISNUMBER(MAX(X$2:X$486))), IF(MAX(X$2:X$486)=MIN(X$2:X$486), 50, ROUND((MAX(X$2:X$486)-X270)/(MAX(X$2:X$486)-MIN(X$2:X$486))*100, 2)), "")</f>
        <v/>
      </c>
      <c r="AB270">
        <f>IF(AND(ISNUMBER(U270), ISNUMBER(MIN(U$2:U$486)), ISNUMBER(MAX(U$2:U$486))), IF(MAX(U$2:U$486)=MIN(U$2:U$486), 50, ROUND((U270-MIN(U$2:U$486))/(MAX(U$2:U$486)-MIN(U$2:U$486))*100, 2)), "")</f>
        <v/>
      </c>
      <c r="AC270">
        <f>IF(AND(ISNUMBER(Z270), ISNUMBER(AA270), ISNUMBER(AB270)), ROUND((Z270+AA270+AB270)/3, 2), "")</f>
        <v/>
      </c>
    </row>
    <row r="271">
      <c r="A271" t="n">
        <v>167433785</v>
      </c>
      <c r="B271" t="n">
        <v>1750</v>
      </c>
      <c r="C271" t="inlineStr">
        <is>
          <t>£1,750 pcm</t>
        </is>
      </c>
      <c r="D271" t="inlineStr">
        <is>
          <t>monthly</t>
        </is>
      </c>
      <c r="E271" t="inlineStr">
        <is>
          <t>Flat</t>
        </is>
      </c>
      <c r="F271" t="n">
        <v>2</v>
      </c>
      <c r="G271" t="n">
        <v>1</v>
      </c>
      <c r="H271" t="inlineStr">
        <is>
          <t>Thurlby Road, West Norwood, London, SE27</t>
        </is>
      </c>
      <c r="I271" t="inlineStr">
        <is>
          <t>Pay less upfront with a Zero Deposit Guarantee. An exceptional two double bedroom first floor period conversion located in the heart of West Norwood.</t>
        </is>
      </c>
      <c r="J271" t="inlineStr">
        <is>
          <t>https://www.rightmove.co.uk/properties/167433785#/?channel=RES_LET</t>
        </is>
      </c>
      <c r="K271" t="inlineStr">
        <is>
          <t>/property-to-rent/contactBranch.html?propertyId=167433785</t>
        </is>
      </c>
      <c r="L271" t="inlineStr">
        <is>
          <t>Kinleigh Folkard &amp; Hayward - Lettings, Streatham</t>
        </is>
      </c>
      <c r="M271" t="n">
        <v>57979</v>
      </c>
      <c r="N271" t="inlineStr">
        <is>
          <t>Reduced on 07/10/2025</t>
        </is>
      </c>
      <c r="O271" t="inlineStr">
        <is>
          <t>2025-09-25T16:29:45Z</t>
        </is>
      </c>
      <c r="Q271" t="inlineStr">
        <is>
          <t>SE27</t>
        </is>
      </c>
      <c r="R271" t="inlineStr">
        <is>
          <t>2025-10-16T17:42:28.749689</t>
        </is>
      </c>
      <c r="S271" t="inlineStr">
        <is>
          <t>{'let available date': 'Now', 'deposit': '£0', 'min. tenancy': 'Ask agent', 'let type': 'Long term', 'furnish type': 'Unfurnished', 'council tax': 'Ask agent'}</t>
        </is>
      </c>
      <c r="V271" t="b">
        <v>1</v>
      </c>
      <c r="X271" t="n">
        <v>11.39</v>
      </c>
      <c r="Y271" t="n">
        <v>43</v>
      </c>
      <c r="Z271">
        <f>IF(AND(ISNUMBER(B271), ISNUMBER(MIN(B$2:B$486)), ISNUMBER(MAX(B$2:B$486))), IF(MAX(B$2:B$486)=MIN(B$2:B$486), 50, ROUND((MAX(B$2:B$486)-B271)/(MAX(B$2:B$486)-MIN(B$2:B$486))*100, 2)), "")</f>
        <v/>
      </c>
      <c r="AA271">
        <f>IF(AND(ISNUMBER(X271), ISNUMBER(MIN(X$2:X$486)), ISNUMBER(MAX(X$2:X$486))), IF(MAX(X$2:X$486)=MIN(X$2:X$486), 50, ROUND((MAX(X$2:X$486)-X271)/(MAX(X$2:X$486)-MIN(X$2:X$486))*100, 2)), "")</f>
        <v/>
      </c>
      <c r="AB271">
        <f>IF(AND(ISNUMBER(U271), ISNUMBER(MIN(U$2:U$486)), ISNUMBER(MAX(U$2:U$486))), IF(MAX(U$2:U$486)=MIN(U$2:U$486), 50, ROUND((U271-MIN(U$2:U$486))/(MAX(U$2:U$486)-MIN(U$2:U$486))*100, 2)), "")</f>
        <v/>
      </c>
      <c r="AC271">
        <f>IF(AND(ISNUMBER(Z271), ISNUMBER(AA271), ISNUMBER(AB271)), ROUND((Z271+AA271+AB271)/3, 2), "")</f>
        <v/>
      </c>
    </row>
    <row r="272">
      <c r="A272" t="n">
        <v>168193808</v>
      </c>
      <c r="B272" t="n">
        <v>1700</v>
      </c>
      <c r="C272" t="inlineStr">
        <is>
          <t>£1,700 pcm</t>
        </is>
      </c>
      <c r="D272" t="inlineStr">
        <is>
          <t>monthly</t>
        </is>
      </c>
      <c r="E272" t="inlineStr">
        <is>
          <t>Flat</t>
        </is>
      </c>
      <c r="F272" t="n">
        <v>2</v>
      </c>
      <c r="G272" t="n">
        <v>1</v>
      </c>
      <c r="H272" t="inlineStr">
        <is>
          <t>Grange View Road, Whestone, N20</t>
        </is>
      </c>
      <c r="I272" t="inlineStr">
        <is>
          <t>Two bedroom flat on the first floor of a purpose built block moments away from Whetstone High Road. Reception, separate kitchen, bathroom, 1 allocated parking space. UNFURNISHED and available immediately.</t>
        </is>
      </c>
      <c r="J272" t="inlineStr">
        <is>
          <t>https://www.rightmove.co.uk/properties/168193808#/?channel=RES_LET</t>
        </is>
      </c>
      <c r="K272" t="inlineStr">
        <is>
          <t>/property-to-rent/contactBranch.html?propertyId=168193808</t>
        </is>
      </c>
      <c r="L272" t="inlineStr">
        <is>
          <t>Jeffersons Estate Agents, London</t>
        </is>
      </c>
      <c r="M272" t="n">
        <v>57608</v>
      </c>
      <c r="N272" t="inlineStr">
        <is>
          <t>Added on 06/10/2025</t>
        </is>
      </c>
      <c r="O272" t="inlineStr">
        <is>
          <t>2025-10-15T11:34:08Z</t>
        </is>
      </c>
      <c r="Q272" t="inlineStr">
        <is>
          <t>N20</t>
        </is>
      </c>
      <c r="R272" t="inlineStr">
        <is>
          <t>2025-10-16T17:42:28.749693</t>
        </is>
      </c>
      <c r="S272" t="inlineStr">
        <is>
          <t>{'let available date': 'Now', 'deposit': 'Ask agent', 'min. tenancy': 'Ask agent', 'let type': 'Long term', 'furnish type': 'Unfurnished', 'council tax': 'Ask agent'}</t>
        </is>
      </c>
      <c r="V272" t="b">
        <v>1</v>
      </c>
      <c r="X272" t="n">
        <v>21.85</v>
      </c>
      <c r="Y272" t="n">
        <v>53.5</v>
      </c>
      <c r="Z272">
        <f>IF(AND(ISNUMBER(B272), ISNUMBER(MIN(B$2:B$486)), ISNUMBER(MAX(B$2:B$486))), IF(MAX(B$2:B$486)=MIN(B$2:B$486), 50, ROUND((MAX(B$2:B$486)-B272)/(MAX(B$2:B$486)-MIN(B$2:B$486))*100, 2)), "")</f>
        <v/>
      </c>
      <c r="AA272">
        <f>IF(AND(ISNUMBER(X272), ISNUMBER(MIN(X$2:X$486)), ISNUMBER(MAX(X$2:X$486))), IF(MAX(X$2:X$486)=MIN(X$2:X$486), 50, ROUND((MAX(X$2:X$486)-X272)/(MAX(X$2:X$486)-MIN(X$2:X$486))*100, 2)), "")</f>
        <v/>
      </c>
      <c r="AB272">
        <f>IF(AND(ISNUMBER(U272), ISNUMBER(MIN(U$2:U$486)), ISNUMBER(MAX(U$2:U$486))), IF(MAX(U$2:U$486)=MIN(U$2:U$486), 50, ROUND((U272-MIN(U$2:U$486))/(MAX(U$2:U$486)-MIN(U$2:U$486))*100, 2)), "")</f>
        <v/>
      </c>
      <c r="AC272">
        <f>IF(AND(ISNUMBER(Z272), ISNUMBER(AA272), ISNUMBER(AB272)), ROUND((Z272+AA272+AB272)/3, 2), "")</f>
        <v/>
      </c>
    </row>
    <row r="273">
      <c r="A273" t="n">
        <v>167876162</v>
      </c>
      <c r="B273" t="n">
        <v>1700</v>
      </c>
      <c r="C273" t="inlineStr">
        <is>
          <t>£1,700 pcm</t>
        </is>
      </c>
      <c r="D273" t="inlineStr">
        <is>
          <t>monthly</t>
        </is>
      </c>
      <c r="E273" t="inlineStr">
        <is>
          <t>Flat</t>
        </is>
      </c>
      <c r="F273" t="n">
        <v>2</v>
      </c>
      <c r="G273" t="n">
        <v>1</v>
      </c>
      <c r="H273" t="inlineStr">
        <is>
          <t>2 bed flat to rent in Kneller Road, Whitton TW2</t>
        </is>
      </c>
      <c r="I273" t="inlineStr">
        <is>
          <t>Lovely, light 2 bedroom flat in Whitton, with a large private garden. Lovely views from the flat.</t>
        </is>
      </c>
      <c r="J273" t="inlineStr">
        <is>
          <t>https://www.rightmove.co.uk/properties/167876162#/?channel=RES_LET</t>
        </is>
      </c>
      <c r="K273" t="inlineStr">
        <is>
          <t>/property-to-rent/contactBranch.html?propertyId=167876162</t>
        </is>
      </c>
      <c r="L273" t="inlineStr">
        <is>
          <t>Swift Property Lettings, Richmond</t>
        </is>
      </c>
      <c r="M273" t="n">
        <v>202445</v>
      </c>
      <c r="N273" t="inlineStr">
        <is>
          <t>Added on 06/10/2025</t>
        </is>
      </c>
      <c r="O273" t="inlineStr">
        <is>
          <t>2025-10-06T18:58:12Z</t>
        </is>
      </c>
      <c r="Q273" t="inlineStr">
        <is>
          <t>TW2</t>
        </is>
      </c>
      <c r="R273" t="inlineStr">
        <is>
          <t>2025-10-16T17:42:28.749697</t>
        </is>
      </c>
      <c r="S273" t="inlineStr">
        <is>
          <t>{'let available date': '22/11/2025', 'deposit': '£1,961', 'min. tenancy': 'Ask agent', 'let type': 'Long term', 'furnish type': 'Unfurnished', 'council tax': 'Ask agent'}</t>
        </is>
      </c>
      <c r="T273" t="n">
        <v>581</v>
      </c>
      <c r="U273" t="n">
        <v>54</v>
      </c>
      <c r="V273" t="b">
        <v>1</v>
      </c>
      <c r="X273" t="n">
        <v>18.99</v>
      </c>
      <c r="Y273" t="n">
        <v>54.4</v>
      </c>
      <c r="Z273">
        <f>IF(AND(ISNUMBER(B273), ISNUMBER(MIN(B$2:B$486)), ISNUMBER(MAX(B$2:B$486))), IF(MAX(B$2:B$486)=MIN(B$2:B$486), 50, ROUND((MAX(B$2:B$486)-B273)/(MAX(B$2:B$486)-MIN(B$2:B$486))*100, 2)), "")</f>
        <v/>
      </c>
      <c r="AA273">
        <f>IF(AND(ISNUMBER(X273), ISNUMBER(MIN(X$2:X$486)), ISNUMBER(MAX(X$2:X$486))), IF(MAX(X$2:X$486)=MIN(X$2:X$486), 50, ROUND((MAX(X$2:X$486)-X273)/(MAX(X$2:X$486)-MIN(X$2:X$486))*100, 2)), "")</f>
        <v/>
      </c>
      <c r="AB273">
        <f>IF(AND(ISNUMBER(U273), ISNUMBER(MIN(U$2:U$486)), ISNUMBER(MAX(U$2:U$486))), IF(MAX(U$2:U$486)=MIN(U$2:U$486), 50, ROUND((U273-MIN(U$2:U$486))/(MAX(U$2:U$486)-MIN(U$2:U$486))*100, 2)), "")</f>
        <v/>
      </c>
      <c r="AC273">
        <f>IF(AND(ISNUMBER(Z273), ISNUMBER(AA273), ISNUMBER(AB273)), ROUND((Z273+AA273+AB273)/3, 2), "")</f>
        <v/>
      </c>
    </row>
    <row r="274">
      <c r="A274" t="n">
        <v>167875958</v>
      </c>
      <c r="B274" t="n">
        <v>1600</v>
      </c>
      <c r="C274" t="inlineStr">
        <is>
          <t>£1,600 pcm</t>
        </is>
      </c>
      <c r="D274" t="inlineStr">
        <is>
          <t>monthly</t>
        </is>
      </c>
      <c r="E274" t="inlineStr">
        <is>
          <t>Flat</t>
        </is>
      </c>
      <c r="F274" t="n">
        <v>2</v>
      </c>
      <c r="G274" t="n">
        <v>1</v>
      </c>
      <c r="H274" t="inlineStr">
        <is>
          <t>Selhurst Road, Croydon, London, SE25</t>
        </is>
      </c>
      <c r="I274" t="inlineStr">
        <is>
          <t>ZERO DEPOSIT AVAILABLE. LONG LET. Located on the second floor of a period conversion, this lovely two bedroom flat has been refurbished throughout to a very high standard with an open-plan reception room and large master bedroom.</t>
        </is>
      </c>
      <c r="J274" t="inlineStr">
        <is>
          <t>https://www.rightmove.co.uk/properties/167875958#/?channel=RES_LET</t>
        </is>
      </c>
      <c r="K274" t="inlineStr">
        <is>
          <t>/property-to-rent/contactBranch.html?propertyId=167875958</t>
        </is>
      </c>
      <c r="L274" t="inlineStr">
        <is>
          <t>Foxtons, Croydon</t>
        </is>
      </c>
      <c r="M274" t="n">
        <v>130309</v>
      </c>
      <c r="N274" t="inlineStr">
        <is>
          <t>Added on 06/10/2025</t>
        </is>
      </c>
      <c r="O274" t="inlineStr">
        <is>
          <t>2025-10-06T18:44:53Z</t>
        </is>
      </c>
      <c r="Q274" t="inlineStr">
        <is>
          <t>SE25</t>
        </is>
      </c>
      <c r="R274" t="inlineStr">
        <is>
          <t>2025-10-16T17:42:28.749701</t>
        </is>
      </c>
      <c r="S274" t="inlineStr">
        <is>
          <t>{'let available date': 'Ask agent', 'deposit': '£1,847', 'min. tenancy': 'Ask agent', 'let type': 'Long term', 'furnish type': 'Unfurnished', 'council tax': 'Ask agent'}</t>
        </is>
      </c>
      <c r="T274" t="n">
        <v>610</v>
      </c>
      <c r="U274" t="n">
        <v>57</v>
      </c>
      <c r="V274" t="b">
        <v>1</v>
      </c>
      <c r="X274" t="n">
        <v>16.69</v>
      </c>
      <c r="Y274" t="n">
        <v>52.9</v>
      </c>
      <c r="Z274">
        <f>IF(AND(ISNUMBER(B274), ISNUMBER(MIN(B$2:B$486)), ISNUMBER(MAX(B$2:B$486))), IF(MAX(B$2:B$486)=MIN(B$2:B$486), 50, ROUND((MAX(B$2:B$486)-B274)/(MAX(B$2:B$486)-MIN(B$2:B$486))*100, 2)), "")</f>
        <v/>
      </c>
      <c r="AA274">
        <f>IF(AND(ISNUMBER(X274), ISNUMBER(MIN(X$2:X$486)), ISNUMBER(MAX(X$2:X$486))), IF(MAX(X$2:X$486)=MIN(X$2:X$486), 50, ROUND((MAX(X$2:X$486)-X274)/(MAX(X$2:X$486)-MIN(X$2:X$486))*100, 2)), "")</f>
        <v/>
      </c>
      <c r="AB274">
        <f>IF(AND(ISNUMBER(U274), ISNUMBER(MIN(U$2:U$486)), ISNUMBER(MAX(U$2:U$486))), IF(MAX(U$2:U$486)=MIN(U$2:U$486), 50, ROUND((U274-MIN(U$2:U$486))/(MAX(U$2:U$486)-MIN(U$2:U$486))*100, 2)), "")</f>
        <v/>
      </c>
      <c r="AC274">
        <f>IF(AND(ISNUMBER(Z274), ISNUMBER(AA274), ISNUMBER(AB274)), ROUND((Z274+AA274+AB274)/3, 2), "")</f>
        <v/>
      </c>
    </row>
    <row r="275">
      <c r="A275" t="n">
        <v>131565863</v>
      </c>
      <c r="B275" t="n">
        <v>1700</v>
      </c>
      <c r="C275" t="inlineStr">
        <is>
          <t>£1,700 pcm</t>
        </is>
      </c>
      <c r="D275" t="inlineStr">
        <is>
          <t>monthly</t>
        </is>
      </c>
      <c r="E275" t="inlineStr">
        <is>
          <t>Apartment</t>
        </is>
      </c>
      <c r="F275" t="n">
        <v>2</v>
      </c>
      <c r="G275" t="n">
        <v>1</v>
      </c>
      <c r="H275" t="inlineStr">
        <is>
          <t>St James Street, Walthamstow, E17</t>
        </is>
      </c>
      <c r="I275" t="inlineStr">
        <is>
          <t>Located perfectly for St James Street Station &amp; Walthamstow Central we have this two double bedroom split level apartment with outside space!</t>
        </is>
      </c>
      <c r="J275" t="inlineStr">
        <is>
          <t>https://www.rightmove.co.uk/properties/131565863#/?channel=RES_LET</t>
        </is>
      </c>
      <c r="K275" t="inlineStr">
        <is>
          <t>/property-to-rent/contactBranch.html?propertyId=131565863</t>
        </is>
      </c>
      <c r="L275" t="inlineStr">
        <is>
          <t>Lloyds Estate Agents, Woodford Green</t>
        </is>
      </c>
      <c r="M275" t="n">
        <v>188099</v>
      </c>
      <c r="N275" t="inlineStr">
        <is>
          <t>Added on 06/10/2025</t>
        </is>
      </c>
      <c r="O275" t="inlineStr">
        <is>
          <t>2023-02-10T09:40:59Z</t>
        </is>
      </c>
      <c r="Q275" t="inlineStr">
        <is>
          <t>E17</t>
        </is>
      </c>
      <c r="R275" t="inlineStr">
        <is>
          <t>2025-10-16T17:42:28.749714</t>
        </is>
      </c>
      <c r="S275" t="inlineStr">
        <is>
          <t>{'let available date': '25/10/2025', 'deposit': '£1,700', 'min. tenancy': '12 months', 'let type': 'Long term', 'furnish type': 'Part furnished', 'council tax': 'Ask agent'}</t>
        </is>
      </c>
      <c r="V275" t="b">
        <v>1</v>
      </c>
      <c r="X275" t="n">
        <v>14.24</v>
      </c>
      <c r="Y275" t="n">
        <v>55.8</v>
      </c>
      <c r="Z275">
        <f>IF(AND(ISNUMBER(B275), ISNUMBER(MIN(B$2:B$486)), ISNUMBER(MAX(B$2:B$486))), IF(MAX(B$2:B$486)=MIN(B$2:B$486), 50, ROUND((MAX(B$2:B$486)-B275)/(MAX(B$2:B$486)-MIN(B$2:B$486))*100, 2)), "")</f>
        <v/>
      </c>
      <c r="AA275">
        <f>IF(AND(ISNUMBER(X275), ISNUMBER(MIN(X$2:X$486)), ISNUMBER(MAX(X$2:X$486))), IF(MAX(X$2:X$486)=MIN(X$2:X$486), 50, ROUND((MAX(X$2:X$486)-X275)/(MAX(X$2:X$486)-MIN(X$2:X$486))*100, 2)), "")</f>
        <v/>
      </c>
      <c r="AB275">
        <f>IF(AND(ISNUMBER(U275), ISNUMBER(MIN(U$2:U$486)), ISNUMBER(MAX(U$2:U$486))), IF(MAX(U$2:U$486)=MIN(U$2:U$486), 50, ROUND((U275-MIN(U$2:U$486))/(MAX(U$2:U$486)-MIN(U$2:U$486))*100, 2)), "")</f>
        <v/>
      </c>
      <c r="AC275">
        <f>IF(AND(ISNUMBER(Z275), ISNUMBER(AA275), ISNUMBER(AB275)), ROUND((Z275+AA275+AB275)/3, 2), "")</f>
        <v/>
      </c>
    </row>
    <row r="276">
      <c r="A276" t="n">
        <v>167864747</v>
      </c>
      <c r="B276" t="n">
        <v>1750</v>
      </c>
      <c r="C276" t="inlineStr">
        <is>
          <t>£1,750 pcm</t>
        </is>
      </c>
      <c r="D276" t="inlineStr">
        <is>
          <t>monthly</t>
        </is>
      </c>
      <c r="E276" t="inlineStr">
        <is>
          <t>Flat</t>
        </is>
      </c>
      <c r="F276" t="n">
        <v>2</v>
      </c>
      <c r="G276" t="n">
        <v>1</v>
      </c>
      <c r="H276" t="inlineStr">
        <is>
          <t>Southwood Road, Eltham</t>
        </is>
      </c>
      <c r="I276" t="inlineStr">
        <is>
          <t>Step into contemporary comfort with this beautifully designed, first-floor apartment in a newly built gated development. This spacious home features two generously sized double bedrooms, perfect for relaxation and rest. The sleek, fully integrated kitchen seamlessly flows into a bright a...</t>
        </is>
      </c>
      <c r="J276" t="inlineStr">
        <is>
          <t>https://www.rightmove.co.uk/properties/167864747#/?channel=RES_LET</t>
        </is>
      </c>
      <c r="K276" t="inlineStr">
        <is>
          <t>/property-to-rent/contactBranch.html?propertyId=167864747</t>
        </is>
      </c>
      <c r="L276" t="inlineStr">
        <is>
          <t>Charles Knight Estate Agents, Lewisham</t>
        </is>
      </c>
      <c r="M276" t="n">
        <v>279419</v>
      </c>
      <c r="N276" t="inlineStr">
        <is>
          <t>Added on 06/10/2025</t>
        </is>
      </c>
      <c r="O276" t="inlineStr">
        <is>
          <t>2025-10-06T15:55:31Z</t>
        </is>
      </c>
      <c r="R276" t="inlineStr">
        <is>
          <t>2025-10-16T17:42:28.749718</t>
        </is>
      </c>
      <c r="S276" t="inlineStr">
        <is>
          <t>{'let available date': 'Ask agent', 'deposit': '£2,019', 'min. tenancy': 'Ask agent', 'let type': 'Long term', 'furnish type': 'Ask agent', 'council tax': 'Ask agent'}</t>
        </is>
      </c>
      <c r="T276" t="n">
        <v>754</v>
      </c>
      <c r="U276" t="n">
        <v>70</v>
      </c>
      <c r="V276" t="b">
        <v>1</v>
      </c>
      <c r="X276" t="n">
        <v>23.56</v>
      </c>
      <c r="Y276" t="n">
        <v>53.5</v>
      </c>
      <c r="Z276">
        <f>IF(AND(ISNUMBER(B276), ISNUMBER(MIN(B$2:B$486)), ISNUMBER(MAX(B$2:B$486))), IF(MAX(B$2:B$486)=MIN(B$2:B$486), 50, ROUND((MAX(B$2:B$486)-B276)/(MAX(B$2:B$486)-MIN(B$2:B$486))*100, 2)), "")</f>
        <v/>
      </c>
      <c r="AA276">
        <f>IF(AND(ISNUMBER(X276), ISNUMBER(MIN(X$2:X$486)), ISNUMBER(MAX(X$2:X$486))), IF(MAX(X$2:X$486)=MIN(X$2:X$486), 50, ROUND((MAX(X$2:X$486)-X276)/(MAX(X$2:X$486)-MIN(X$2:X$486))*100, 2)), "")</f>
        <v/>
      </c>
      <c r="AB276">
        <f>IF(AND(ISNUMBER(U276), ISNUMBER(MIN(U$2:U$486)), ISNUMBER(MAX(U$2:U$486))), IF(MAX(U$2:U$486)=MIN(U$2:U$486), 50, ROUND((U276-MIN(U$2:U$486))/(MAX(U$2:U$486)-MIN(U$2:U$486))*100, 2)), "")</f>
        <v/>
      </c>
      <c r="AC276">
        <f>IF(AND(ISNUMBER(Z276), ISNUMBER(AA276), ISNUMBER(AB276)), ROUND((Z276+AA276+AB276)/3, 2), "")</f>
        <v/>
      </c>
    </row>
    <row r="277">
      <c r="A277" t="n">
        <v>167864567</v>
      </c>
      <c r="B277" t="n">
        <v>1675</v>
      </c>
      <c r="C277" t="inlineStr">
        <is>
          <t>£1,675 pcm</t>
        </is>
      </c>
      <c r="D277" t="inlineStr">
        <is>
          <t>monthly</t>
        </is>
      </c>
      <c r="E277" t="inlineStr">
        <is>
          <t>Block of Apartments</t>
        </is>
      </c>
      <c r="F277" t="n">
        <v>2</v>
      </c>
      <c r="G277" t="n">
        <v>1</v>
      </c>
      <c r="H277" t="inlineStr">
        <is>
          <t>Medesenge Way, London, N13</t>
        </is>
      </c>
      <c r="I277" t="inlineStr">
        <is>
          <t>LWF Lettings is pleased to present this charming two-bedroom ground floor flat, ideal for professionals and young couples.
This well-maintained property features: One spacious double bedroom and one single bedroom
A modern kitchen with contemporary fittings
A stylish bathroom with updated fixtur...</t>
        </is>
      </c>
      <c r="J277" t="inlineStr">
        <is>
          <t>https://www.rightmove.co.uk/properties/167864567#/?channel=RES_LET</t>
        </is>
      </c>
      <c r="K277" t="inlineStr">
        <is>
          <t>/property-to-rent/contactBranch.html?propertyId=167864567</t>
        </is>
      </c>
      <c r="L277" t="inlineStr">
        <is>
          <t>Lettings Waltham Forest, Walthamstow</t>
        </is>
      </c>
      <c r="M277" t="n">
        <v>163817</v>
      </c>
      <c r="N277" t="inlineStr">
        <is>
          <t>Added on 06/10/2025</t>
        </is>
      </c>
      <c r="O277" t="inlineStr">
        <is>
          <t>2025-10-06T15:52:51Z</t>
        </is>
      </c>
      <c r="Q277" t="inlineStr">
        <is>
          <t>N13</t>
        </is>
      </c>
      <c r="R277" t="inlineStr">
        <is>
          <t>2025-10-16T17:42:28.749722</t>
        </is>
      </c>
      <c r="S277" t="inlineStr">
        <is>
          <t>{'let available date': '20/10/2025', 'deposit': '£1,675', 'min. tenancy': '12 months', 'let type': 'Long term', 'furnish type': 'Unfurnished', 'council tax': 'Ask agent'}</t>
        </is>
      </c>
      <c r="V277" t="b">
        <v>1</v>
      </c>
      <c r="X277" t="n">
        <v>18.01</v>
      </c>
      <c r="Y277" t="n">
        <v>52</v>
      </c>
      <c r="Z277">
        <f>IF(AND(ISNUMBER(B277), ISNUMBER(MIN(B$2:B$486)), ISNUMBER(MAX(B$2:B$486))), IF(MAX(B$2:B$486)=MIN(B$2:B$486), 50, ROUND((MAX(B$2:B$486)-B277)/(MAX(B$2:B$486)-MIN(B$2:B$486))*100, 2)), "")</f>
        <v/>
      </c>
      <c r="AA277">
        <f>IF(AND(ISNUMBER(X277), ISNUMBER(MIN(X$2:X$486)), ISNUMBER(MAX(X$2:X$486))), IF(MAX(X$2:X$486)=MIN(X$2:X$486), 50, ROUND((MAX(X$2:X$486)-X277)/(MAX(X$2:X$486)-MIN(X$2:X$486))*100, 2)), "")</f>
        <v/>
      </c>
      <c r="AB277">
        <f>IF(AND(ISNUMBER(U277), ISNUMBER(MIN(U$2:U$486)), ISNUMBER(MAX(U$2:U$486))), IF(MAX(U$2:U$486)=MIN(U$2:U$486), 50, ROUND((U277-MIN(U$2:U$486))/(MAX(U$2:U$486)-MIN(U$2:U$486))*100, 2)), "")</f>
        <v/>
      </c>
      <c r="AC277">
        <f>IF(AND(ISNUMBER(Z277), ISNUMBER(AA277), ISNUMBER(AB277)), ROUND((Z277+AA277+AB277)/3, 2), "")</f>
        <v/>
      </c>
    </row>
    <row r="278">
      <c r="A278" t="n">
        <v>167316221</v>
      </c>
      <c r="B278" t="n">
        <v>1600</v>
      </c>
      <c r="C278" t="inlineStr">
        <is>
          <t>£1,600 pcm</t>
        </is>
      </c>
      <c r="D278" t="inlineStr">
        <is>
          <t>monthly</t>
        </is>
      </c>
      <c r="E278" t="inlineStr">
        <is>
          <t>Flat</t>
        </is>
      </c>
      <c r="F278" t="n">
        <v>2</v>
      </c>
      <c r="G278" t="n">
        <v>1</v>
      </c>
      <c r="H278" t="inlineStr">
        <is>
          <t>Prince Road, Croydon</t>
        </is>
      </c>
      <c r="I278" t="inlineStr">
        <is>
          <t>haart are delighted to introduce to the market this recently redecorated and impressively spacious two bed flat located in a desirable purpose-built block in Selhurst</t>
        </is>
      </c>
      <c r="J278" t="inlineStr">
        <is>
          <t>https://www.rightmove.co.uk/properties/167316221#/?channel=RES_LET</t>
        </is>
      </c>
      <c r="K278" t="inlineStr">
        <is>
          <t>/property-to-rent/contactBranch.html?propertyId=167316221</t>
        </is>
      </c>
      <c r="L278" t="inlineStr">
        <is>
          <t>haart, Croydon - Lettings</t>
        </is>
      </c>
      <c r="M278" t="n">
        <v>90368</v>
      </c>
      <c r="N278" t="inlineStr">
        <is>
          <t>Reduced on 06/10/2025</t>
        </is>
      </c>
      <c r="O278" t="inlineStr">
        <is>
          <t>2025-09-23T14:51:27Z</t>
        </is>
      </c>
      <c r="R278" t="inlineStr">
        <is>
          <t>2025-10-16T17:42:28.749725</t>
        </is>
      </c>
      <c r="S278" t="inlineStr">
        <is>
          <t>{'let available date': 'Now', 'deposit': '£1,846', 'min. tenancy': 'Ask agent', 'let type': 'Long term', 'furnish type': 'Unfurnished', 'council tax': 'Ask agent'}</t>
        </is>
      </c>
      <c r="V278" t="b">
        <v>1</v>
      </c>
      <c r="X278" t="n">
        <v>16.85</v>
      </c>
      <c r="Y278" t="n">
        <v>52.5</v>
      </c>
      <c r="Z278">
        <f>IF(AND(ISNUMBER(B278), ISNUMBER(MIN(B$2:B$486)), ISNUMBER(MAX(B$2:B$486))), IF(MAX(B$2:B$486)=MIN(B$2:B$486), 50, ROUND((MAX(B$2:B$486)-B278)/(MAX(B$2:B$486)-MIN(B$2:B$486))*100, 2)), "")</f>
        <v/>
      </c>
      <c r="AA278">
        <f>IF(AND(ISNUMBER(X278), ISNUMBER(MIN(X$2:X$486)), ISNUMBER(MAX(X$2:X$486))), IF(MAX(X$2:X$486)=MIN(X$2:X$486), 50, ROUND((MAX(X$2:X$486)-X278)/(MAX(X$2:X$486)-MIN(X$2:X$486))*100, 2)), "")</f>
        <v/>
      </c>
      <c r="AB278">
        <f>IF(AND(ISNUMBER(U278), ISNUMBER(MIN(U$2:U$486)), ISNUMBER(MAX(U$2:U$486))), IF(MAX(U$2:U$486)=MIN(U$2:U$486), 50, ROUND((U278-MIN(U$2:U$486))/(MAX(U$2:U$486)-MIN(U$2:U$486))*100, 2)), "")</f>
        <v/>
      </c>
      <c r="AC278">
        <f>IF(AND(ISNUMBER(Z278), ISNUMBER(AA278), ISNUMBER(AB278)), ROUND((Z278+AA278+AB278)/3, 2), "")</f>
        <v/>
      </c>
    </row>
    <row r="279">
      <c r="A279" t="n">
        <v>167860523</v>
      </c>
      <c r="B279" t="n">
        <v>1600</v>
      </c>
      <c r="C279" t="inlineStr">
        <is>
          <t>£1,600 pcm</t>
        </is>
      </c>
      <c r="D279" t="inlineStr">
        <is>
          <t>monthly</t>
        </is>
      </c>
      <c r="E279" t="inlineStr">
        <is>
          <t>Flat</t>
        </is>
      </c>
      <c r="F279" t="n">
        <v>2</v>
      </c>
      <c r="G279" t="n">
        <v>1</v>
      </c>
      <c r="H279" t="inlineStr">
        <is>
          <t>Ventnor Road, London, SE14</t>
        </is>
      </c>
      <c r="I279" t="inlineStr">
        <is>
          <t>Charming 2-bed flat with open-plan layout and private entrance in sought-after area. Seamless flow between living spaces, excellent transport links. Ideal blend of urban amenities and tranquillity.</t>
        </is>
      </c>
      <c r="J279" t="inlineStr">
        <is>
          <t>https://www.rightmove.co.uk/properties/167860523#/?channel=RES_LET</t>
        </is>
      </c>
      <c r="K279" t="inlineStr">
        <is>
          <t>/property-to-rent/contactBranch.html?propertyId=167860523</t>
        </is>
      </c>
      <c r="L279" t="inlineStr">
        <is>
          <t>Kallars, London</t>
        </is>
      </c>
      <c r="M279" t="n">
        <v>289823</v>
      </c>
      <c r="N279" t="inlineStr">
        <is>
          <t>Added on 06/10/2025</t>
        </is>
      </c>
      <c r="O279" t="inlineStr">
        <is>
          <t>2025-10-06T15:00:59Z</t>
        </is>
      </c>
      <c r="Q279" t="inlineStr">
        <is>
          <t>SE14</t>
        </is>
      </c>
      <c r="R279" t="inlineStr">
        <is>
          <t>2025-10-16T17:42:28.749727</t>
        </is>
      </c>
      <c r="S279" t="inlineStr">
        <is>
          <t>{'let available date': '30/10/2025', 'deposit': '£1,846', 'min. tenancy': '12 months', 'let type': 'Long term', 'furnish type': 'Furnished', 'council tax': 'Ask agent'}</t>
        </is>
      </c>
      <c r="T279" t="n">
        <v>462</v>
      </c>
      <c r="U279" t="n">
        <v>43</v>
      </c>
      <c r="V279" t="b">
        <v>1</v>
      </c>
      <c r="X279" t="n">
        <v>9.35</v>
      </c>
      <c r="Y279" t="n">
        <v>37.2</v>
      </c>
      <c r="Z279">
        <f>IF(AND(ISNUMBER(B279), ISNUMBER(MIN(B$2:B$486)), ISNUMBER(MAX(B$2:B$486))), IF(MAX(B$2:B$486)=MIN(B$2:B$486), 50, ROUND((MAX(B$2:B$486)-B279)/(MAX(B$2:B$486)-MIN(B$2:B$486))*100, 2)), "")</f>
        <v/>
      </c>
      <c r="AA279">
        <f>IF(AND(ISNUMBER(X279), ISNUMBER(MIN(X$2:X$486)), ISNUMBER(MAX(X$2:X$486))), IF(MAX(X$2:X$486)=MIN(X$2:X$486), 50, ROUND((MAX(X$2:X$486)-X279)/(MAX(X$2:X$486)-MIN(X$2:X$486))*100, 2)), "")</f>
        <v/>
      </c>
      <c r="AB279">
        <f>IF(AND(ISNUMBER(U279), ISNUMBER(MIN(U$2:U$486)), ISNUMBER(MAX(U$2:U$486))), IF(MAX(U$2:U$486)=MIN(U$2:U$486), 50, ROUND((U279-MIN(U$2:U$486))/(MAX(U$2:U$486)-MIN(U$2:U$486))*100, 2)), "")</f>
        <v/>
      </c>
      <c r="AC279">
        <f>IF(AND(ISNUMBER(Z279), ISNUMBER(AA279), ISNUMBER(AB279)), ROUND((Z279+AA279+AB279)/3, 2), "")</f>
        <v/>
      </c>
    </row>
    <row r="280">
      <c r="A280" t="n">
        <v>127473011</v>
      </c>
      <c r="B280" t="n">
        <v>1750</v>
      </c>
      <c r="C280" t="inlineStr">
        <is>
          <t>£1,750 pcm</t>
        </is>
      </c>
      <c r="D280" t="inlineStr">
        <is>
          <t>monthly</t>
        </is>
      </c>
      <c r="E280" t="inlineStr">
        <is>
          <t>Apartment</t>
        </is>
      </c>
      <c r="F280" t="n">
        <v>2</v>
      </c>
      <c r="G280" t="n">
        <v>2</v>
      </c>
      <c r="H280" t="inlineStr">
        <is>
          <t>Central Road, Worcester Park</t>
        </is>
      </c>
      <c r="I280" t="inlineStr">
        <is>
          <t>This top floor, two double bedroom apartment is situated in a modern development in the heart of Worcester Park High Street, close to all local amenities including a variety of shops, restaurants and transport links. Worcester Park main line railway station is within walking distance. The accom...</t>
        </is>
      </c>
      <c r="J280" t="inlineStr">
        <is>
          <t>https://www.rightmove.co.uk/properties/127473011#/?channel=RES_LET</t>
        </is>
      </c>
      <c r="K280" t="inlineStr">
        <is>
          <t>/property-to-rent/contactBranch.html?propertyId=127473011</t>
        </is>
      </c>
      <c r="L280" t="inlineStr">
        <is>
          <t>Cromwells Estate Agents, Cheam - Sales</t>
        </is>
      </c>
      <c r="M280" t="n">
        <v>15626</v>
      </c>
      <c r="N280" t="inlineStr">
        <is>
          <t>Added on 06/10/2025</t>
        </is>
      </c>
      <c r="O280" t="inlineStr">
        <is>
          <t>2022-09-27T17:06:15Z</t>
        </is>
      </c>
      <c r="R280" t="inlineStr">
        <is>
          <t>2025-10-16T17:42:28.749730</t>
        </is>
      </c>
      <c r="S280" t="inlineStr">
        <is>
          <t>{'let available date': 'Now', 'deposit': 'Ask agent', 'min. tenancy': 'Ask agent', 'let type': 'Long term', 'furnish type': 'Unfurnished', 'council tax': 'Ask agent'}</t>
        </is>
      </c>
      <c r="V280" t="b">
        <v>1</v>
      </c>
      <c r="X280" t="n">
        <v>22.68</v>
      </c>
      <c r="Y280" t="n">
        <v>59.3</v>
      </c>
      <c r="Z280">
        <f>IF(AND(ISNUMBER(B280), ISNUMBER(MIN(B$2:B$486)), ISNUMBER(MAX(B$2:B$486))), IF(MAX(B$2:B$486)=MIN(B$2:B$486), 50, ROUND((MAX(B$2:B$486)-B280)/(MAX(B$2:B$486)-MIN(B$2:B$486))*100, 2)), "")</f>
        <v/>
      </c>
      <c r="AA280">
        <f>IF(AND(ISNUMBER(X280), ISNUMBER(MIN(X$2:X$486)), ISNUMBER(MAX(X$2:X$486))), IF(MAX(X$2:X$486)=MIN(X$2:X$486), 50, ROUND((MAX(X$2:X$486)-X280)/(MAX(X$2:X$486)-MIN(X$2:X$486))*100, 2)), "")</f>
        <v/>
      </c>
      <c r="AB280">
        <f>IF(AND(ISNUMBER(U280), ISNUMBER(MIN(U$2:U$486)), ISNUMBER(MAX(U$2:U$486))), IF(MAX(U$2:U$486)=MIN(U$2:U$486), 50, ROUND((U280-MIN(U$2:U$486))/(MAX(U$2:U$486)-MIN(U$2:U$486))*100, 2)), "")</f>
        <v/>
      </c>
      <c r="AC280">
        <f>IF(AND(ISNUMBER(Z280), ISNUMBER(AA280), ISNUMBER(AB280)), ROUND((Z280+AA280+AB280)/3, 2), "")</f>
        <v/>
      </c>
    </row>
    <row r="281">
      <c r="A281" t="n">
        <v>87083523</v>
      </c>
      <c r="B281" t="n">
        <v>1500</v>
      </c>
      <c r="C281" t="inlineStr">
        <is>
          <t>£1,500 pcm</t>
        </is>
      </c>
      <c r="D281" t="inlineStr">
        <is>
          <t>monthly</t>
        </is>
      </c>
      <c r="E281" t="inlineStr">
        <is>
          <t>Maisonette</t>
        </is>
      </c>
      <c r="F281" t="n">
        <v>2</v>
      </c>
      <c r="H281" t="inlineStr">
        <is>
          <t>Trafalgar Road, London, TW2</t>
        </is>
      </c>
      <c r="I281" t="inlineStr">
        <is>
          <t>WITH PRIVATE REAR GARDEN - WELL PRESENTED &amp; SPACIOUS TWO BEDROOM GROUND FLOOR MAISONETTE SITUATED IN SOUGHT AFTER LOCATION IDEALLY POSITIONED FOR MAINLINE TRAIN STATION &amp; LOCAL SHOPS. The property has just been refurbished and benefits from a spacious lounge/diner, separate modern fitted kitchen, tw</t>
        </is>
      </c>
      <c r="J281" t="inlineStr">
        <is>
          <t>https://www.rightmove.co.uk/properties/87083523#/?channel=RES_LET</t>
        </is>
      </c>
      <c r="K281" t="inlineStr">
        <is>
          <t>/property-to-rent/contactBranch.html?propertyId=87083523</t>
        </is>
      </c>
      <c r="L281" t="inlineStr">
        <is>
          <t>Octagon, Staines</t>
        </is>
      </c>
      <c r="M281" t="n">
        <v>149270</v>
      </c>
      <c r="N281" t="inlineStr">
        <is>
          <t>Added on 06/10/2025</t>
        </is>
      </c>
      <c r="O281" t="inlineStr">
        <is>
          <t>2025-02-12T11:10:16Z</t>
        </is>
      </c>
      <c r="Q281" t="inlineStr">
        <is>
          <t>TW2</t>
        </is>
      </c>
      <c r="R281" t="inlineStr">
        <is>
          <t>2025-10-16T17:42:28.749733</t>
        </is>
      </c>
      <c r="S281" t="inlineStr">
        <is>
          <t>{'let available date': 'Ask agent', 'deposit': 'Ask agent', 'min. tenancy': 'Ask agent', 'let type': 'Long term', 'furnish type': 'Ask agent', 'council tax': 'Ask agent'}</t>
        </is>
      </c>
      <c r="V281" t="b">
        <v>1</v>
      </c>
      <c r="X281" t="n">
        <v>18.99</v>
      </c>
      <c r="Y281" t="n">
        <v>54.3</v>
      </c>
      <c r="Z281">
        <f>IF(AND(ISNUMBER(B281), ISNUMBER(MIN(B$2:B$486)), ISNUMBER(MAX(B$2:B$486))), IF(MAX(B$2:B$486)=MIN(B$2:B$486), 50, ROUND((MAX(B$2:B$486)-B281)/(MAX(B$2:B$486)-MIN(B$2:B$486))*100, 2)), "")</f>
        <v/>
      </c>
      <c r="AA281">
        <f>IF(AND(ISNUMBER(X281), ISNUMBER(MIN(X$2:X$486)), ISNUMBER(MAX(X$2:X$486))), IF(MAX(X$2:X$486)=MIN(X$2:X$486), 50, ROUND((MAX(X$2:X$486)-X281)/(MAX(X$2:X$486)-MIN(X$2:X$486))*100, 2)), "")</f>
        <v/>
      </c>
      <c r="AB281">
        <f>IF(AND(ISNUMBER(U281), ISNUMBER(MIN(U$2:U$486)), ISNUMBER(MAX(U$2:U$486))), IF(MAX(U$2:U$486)=MIN(U$2:U$486), 50, ROUND((U281-MIN(U$2:U$486))/(MAX(U$2:U$486)-MIN(U$2:U$486))*100, 2)), "")</f>
        <v/>
      </c>
      <c r="AC281">
        <f>IF(AND(ISNUMBER(Z281), ISNUMBER(AA281), ISNUMBER(AB281)), ROUND((Z281+AA281+AB281)/3, 2), "")</f>
        <v/>
      </c>
    </row>
    <row r="282">
      <c r="A282" t="n">
        <v>166910195</v>
      </c>
      <c r="B282" t="n">
        <v>1350</v>
      </c>
      <c r="C282" t="inlineStr">
        <is>
          <t>£1,350 pcm</t>
        </is>
      </c>
      <c r="D282" t="inlineStr">
        <is>
          <t>monthly</t>
        </is>
      </c>
      <c r="E282" t="inlineStr">
        <is>
          <t>Apartment</t>
        </is>
      </c>
      <c r="F282" t="n">
        <v>2</v>
      </c>
      <c r="G282" t="n">
        <v>1</v>
      </c>
      <c r="H282" t="inlineStr">
        <is>
          <t>St. Mary's Road, London, SE25</t>
        </is>
      </c>
      <c r="I282" t="inlineStr">
        <is>
          <t>Stylish 2-Bedroom Flat – Recently Refurbished &amp; Move-In Ready Located less than a 15-minute walk from Norwood Junction, this beautifully refurbished two-bedroom flat offers modern living in a highly convenient setting. Featuring a spacious main bedroom, a second well-proporti...</t>
        </is>
      </c>
      <c r="J282" t="inlineStr">
        <is>
          <t>https://www.rightmove.co.uk/properties/166910195#/?channel=RES_LET</t>
        </is>
      </c>
      <c r="K282" t="inlineStr">
        <is>
          <t>/property-to-rent/contactBranch.html?propertyId=166910195</t>
        </is>
      </c>
      <c r="L282" t="inlineStr">
        <is>
          <t>Streets Ahead, South Norwood</t>
        </is>
      </c>
      <c r="M282" t="n">
        <v>181634</v>
      </c>
      <c r="N282" t="inlineStr">
        <is>
          <t>Reduced on 06/10/2025</t>
        </is>
      </c>
      <c r="O282" t="inlineStr">
        <is>
          <t>2025-09-12T09:54:32Z</t>
        </is>
      </c>
      <c r="Q282" t="inlineStr">
        <is>
          <t>SE25</t>
        </is>
      </c>
      <c r="R282" t="inlineStr">
        <is>
          <t>2025-10-16T17:42:28.749735</t>
        </is>
      </c>
      <c r="S282" t="inlineStr">
        <is>
          <t>{'let available date': 'Now', 'deposit': '£1,557', 'min. tenancy': 'Ask agent', 'let type': 'Long term', 'furnish type': 'Unfurnished', 'council tax': 'Ask agent'}</t>
        </is>
      </c>
      <c r="V282" t="b">
        <v>1</v>
      </c>
      <c r="X282" t="n">
        <v>16.69</v>
      </c>
      <c r="Y282" t="n">
        <v>52.9</v>
      </c>
      <c r="Z282">
        <f>IF(AND(ISNUMBER(B282), ISNUMBER(MIN(B$2:B$486)), ISNUMBER(MAX(B$2:B$486))), IF(MAX(B$2:B$486)=MIN(B$2:B$486), 50, ROUND((MAX(B$2:B$486)-B282)/(MAX(B$2:B$486)-MIN(B$2:B$486))*100, 2)), "")</f>
        <v/>
      </c>
      <c r="AA282">
        <f>IF(AND(ISNUMBER(X282), ISNUMBER(MIN(X$2:X$486)), ISNUMBER(MAX(X$2:X$486))), IF(MAX(X$2:X$486)=MIN(X$2:X$486), 50, ROUND((MAX(X$2:X$486)-X282)/(MAX(X$2:X$486)-MIN(X$2:X$486))*100, 2)), "")</f>
        <v/>
      </c>
      <c r="AB282">
        <f>IF(AND(ISNUMBER(U282), ISNUMBER(MIN(U$2:U$486)), ISNUMBER(MAX(U$2:U$486))), IF(MAX(U$2:U$486)=MIN(U$2:U$486), 50, ROUND((U282-MIN(U$2:U$486))/(MAX(U$2:U$486)-MIN(U$2:U$486))*100, 2)), "")</f>
        <v/>
      </c>
      <c r="AC282">
        <f>IF(AND(ISNUMBER(Z282), ISNUMBER(AA282), ISNUMBER(AB282)), ROUND((Z282+AA282+AB282)/3, 2), "")</f>
        <v/>
      </c>
    </row>
    <row r="283">
      <c r="A283" t="n">
        <v>167849768</v>
      </c>
      <c r="B283" t="n">
        <v>1650</v>
      </c>
      <c r="C283" t="inlineStr">
        <is>
          <t>£1,650 pcm</t>
        </is>
      </c>
      <c r="D283" t="inlineStr">
        <is>
          <t>monthly</t>
        </is>
      </c>
      <c r="E283" t="inlineStr">
        <is>
          <t>Apartment</t>
        </is>
      </c>
      <c r="F283" t="n">
        <v>2</v>
      </c>
      <c r="G283" t="n">
        <v>1</v>
      </c>
      <c r="H283" t="inlineStr">
        <is>
          <t>Springfield Road, WALLINGTON</t>
        </is>
      </c>
      <c r="I283" t="inlineStr">
        <is>
          <t>BRIGHT &amp; SPACIOUS RECENTLY REFURBISHED 2 DOUBLE BEDROOM PURPOSE BUILT APARTMENT IN THE HEART OF WALLINGTON - AVAILABLE IMMEDIATELY</t>
        </is>
      </c>
      <c r="J283" t="inlineStr">
        <is>
          <t>https://www.rightmove.co.uk/properties/167849768#/?channel=RES_LET</t>
        </is>
      </c>
      <c r="K283" t="inlineStr">
        <is>
          <t>/property-to-rent/contactBranch.html?propertyId=167849768</t>
        </is>
      </c>
      <c r="L283" t="inlineStr">
        <is>
          <t>Barnard Marcus Lettings, Wallington - Lettings</t>
        </is>
      </c>
      <c r="M283" t="n">
        <v>135566</v>
      </c>
      <c r="N283" t="inlineStr">
        <is>
          <t>Added on 06/10/2025</t>
        </is>
      </c>
      <c r="O283" t="inlineStr">
        <is>
          <t>2025-10-06T12:27:43Z</t>
        </is>
      </c>
      <c r="R283" t="inlineStr">
        <is>
          <t>2025-10-16T17:42:28.749738</t>
        </is>
      </c>
      <c r="S283" t="inlineStr">
        <is>
          <t>{'let available date': '31/10/2025', 'deposit': '£1,903', 'min. tenancy': 'Ask agent', 'let type': 'Long term', 'furnish type': 'Unfurnished', 'council tax': 'Ask agent'}</t>
        </is>
      </c>
      <c r="V283" t="b">
        <v>1</v>
      </c>
      <c r="X283" t="n">
        <v>20.21</v>
      </c>
      <c r="Y283" t="n">
        <v>63.8</v>
      </c>
      <c r="Z283">
        <f>IF(AND(ISNUMBER(B283), ISNUMBER(MIN(B$2:B$486)), ISNUMBER(MAX(B$2:B$486))), IF(MAX(B$2:B$486)=MIN(B$2:B$486), 50, ROUND((MAX(B$2:B$486)-B283)/(MAX(B$2:B$486)-MIN(B$2:B$486))*100, 2)), "")</f>
        <v/>
      </c>
      <c r="AA283">
        <f>IF(AND(ISNUMBER(X283), ISNUMBER(MIN(X$2:X$486)), ISNUMBER(MAX(X$2:X$486))), IF(MAX(X$2:X$486)=MIN(X$2:X$486), 50, ROUND((MAX(X$2:X$486)-X283)/(MAX(X$2:X$486)-MIN(X$2:X$486))*100, 2)), "")</f>
        <v/>
      </c>
      <c r="AB283">
        <f>IF(AND(ISNUMBER(U283), ISNUMBER(MIN(U$2:U$486)), ISNUMBER(MAX(U$2:U$486))), IF(MAX(U$2:U$486)=MIN(U$2:U$486), 50, ROUND((U283-MIN(U$2:U$486))/(MAX(U$2:U$486)-MIN(U$2:U$486))*100, 2)), "")</f>
        <v/>
      </c>
      <c r="AC283">
        <f>IF(AND(ISNUMBER(Z283), ISNUMBER(AA283), ISNUMBER(AB283)), ROUND((Z283+AA283+AB283)/3, 2), "")</f>
        <v/>
      </c>
    </row>
    <row r="284">
      <c r="A284" t="n">
        <v>166872620</v>
      </c>
      <c r="B284" t="n">
        <v>1350</v>
      </c>
      <c r="C284" t="inlineStr">
        <is>
          <t>£1,350 pcm</t>
        </is>
      </c>
      <c r="D284" t="inlineStr">
        <is>
          <t>monthly</t>
        </is>
      </c>
      <c r="E284" t="inlineStr">
        <is>
          <t>Apartment</t>
        </is>
      </c>
      <c r="F284" t="n">
        <v>2</v>
      </c>
      <c r="G284" t="n">
        <v>1</v>
      </c>
      <c r="H284" t="inlineStr">
        <is>
          <t>St. Mary's Road, London, SE25</t>
        </is>
      </c>
      <c r="I284" t="inlineStr">
        <is>
          <t>Recently refurbished and ready to move in, this stylish two bedroom flat is perfectly located less than 15 minutes’ walk from Norwood Junction. Boasting a large main bedroom, a second well-sized bedroom, and a bright open-plan kitchen and living area. The property offers a modern and comfor...</t>
        </is>
      </c>
      <c r="J284" t="inlineStr">
        <is>
          <t>https://www.rightmove.co.uk/properties/166872620#/?channel=RES_LET</t>
        </is>
      </c>
      <c r="K284" t="inlineStr">
        <is>
          <t>/property-to-rent/contactBranch.html?propertyId=166872620</t>
        </is>
      </c>
      <c r="L284" t="inlineStr">
        <is>
          <t>Stirling Ackroyd Lettings, South Norwood - Lettings</t>
        </is>
      </c>
      <c r="M284" t="n">
        <v>66533</v>
      </c>
      <c r="N284" t="inlineStr">
        <is>
          <t>Reduced on 06/10/2025</t>
        </is>
      </c>
      <c r="O284" t="inlineStr">
        <is>
          <t>2025-09-11T12:34:29Z</t>
        </is>
      </c>
      <c r="Q284" t="inlineStr">
        <is>
          <t>SE25</t>
        </is>
      </c>
      <c r="R284" t="inlineStr">
        <is>
          <t>2025-10-16T17:42:28.749741</t>
        </is>
      </c>
      <c r="S284" t="inlineStr">
        <is>
          <t>{'let available date': 'Now', 'deposit': '£1,557', 'min. tenancy': '12 months', 'let type': 'Long term', 'furnish type': 'Unfurnished', 'council tax': 'Ask agent'}</t>
        </is>
      </c>
      <c r="V284" t="b">
        <v>1</v>
      </c>
      <c r="X284" t="n">
        <v>16.69</v>
      </c>
      <c r="Y284" t="n">
        <v>52.9</v>
      </c>
      <c r="Z284">
        <f>IF(AND(ISNUMBER(B284), ISNUMBER(MIN(B$2:B$486)), ISNUMBER(MAX(B$2:B$486))), IF(MAX(B$2:B$486)=MIN(B$2:B$486), 50, ROUND((MAX(B$2:B$486)-B284)/(MAX(B$2:B$486)-MIN(B$2:B$486))*100, 2)), "")</f>
        <v/>
      </c>
      <c r="AA284">
        <f>IF(AND(ISNUMBER(X284), ISNUMBER(MIN(X$2:X$486)), ISNUMBER(MAX(X$2:X$486))), IF(MAX(X$2:X$486)=MIN(X$2:X$486), 50, ROUND((MAX(X$2:X$486)-X284)/(MAX(X$2:X$486)-MIN(X$2:X$486))*100, 2)), "")</f>
        <v/>
      </c>
      <c r="AB284">
        <f>IF(AND(ISNUMBER(U284), ISNUMBER(MIN(U$2:U$486)), ISNUMBER(MAX(U$2:U$486))), IF(MAX(U$2:U$486)=MIN(U$2:U$486), 50, ROUND((U284-MIN(U$2:U$486))/(MAX(U$2:U$486)-MIN(U$2:U$486))*100, 2)), "")</f>
        <v/>
      </c>
      <c r="AC284">
        <f>IF(AND(ISNUMBER(Z284), ISNUMBER(AA284), ISNUMBER(AB284)), ROUND((Z284+AA284+AB284)/3, 2), "")</f>
        <v/>
      </c>
    </row>
    <row r="285">
      <c r="A285" t="n">
        <v>167095253</v>
      </c>
      <c r="B285" t="n">
        <v>1700</v>
      </c>
      <c r="C285" t="inlineStr">
        <is>
          <t>£1,700 pcm</t>
        </is>
      </c>
      <c r="D285" t="inlineStr">
        <is>
          <t>monthly</t>
        </is>
      </c>
      <c r="E285" t="inlineStr">
        <is>
          <t>Flat</t>
        </is>
      </c>
      <c r="F285" t="n">
        <v>2</v>
      </c>
      <c r="G285" t="n">
        <v>1</v>
      </c>
      <c r="H285" t="inlineStr">
        <is>
          <t>72, Warrior Square, Manor Park, E12</t>
        </is>
      </c>
      <c r="I285" t="inlineStr">
        <is>
          <t>Wentworth Estates Presents - A well-presented two-bedroom ground floor flat located in a popular residential area of E12. The property offers a bright reception room, fitted kitchen, two generously sized bedrooms, and a family bathroom. Benefits include easy access to local shops, schools, and ex...</t>
        </is>
      </c>
      <c r="J285" t="inlineStr">
        <is>
          <t>https://www.rightmove.co.uk/properties/167095253#/?channel=RES_LET</t>
        </is>
      </c>
      <c r="K285" t="inlineStr">
        <is>
          <t>/property-to-rent/contactBranch.html?propertyId=167095253</t>
        </is>
      </c>
      <c r="L285" t="inlineStr">
        <is>
          <t>Wentworth Estates, London</t>
        </is>
      </c>
      <c r="M285" t="n">
        <v>76835</v>
      </c>
      <c r="N285" t="inlineStr">
        <is>
          <t>Reduced on 06/10/2025</t>
        </is>
      </c>
      <c r="O285" t="inlineStr">
        <is>
          <t>2025-09-17T13:26:18Z</t>
        </is>
      </c>
      <c r="Q285" t="inlineStr">
        <is>
          <t>E12</t>
        </is>
      </c>
      <c r="R285" t="inlineStr">
        <is>
          <t>2025-10-16T17:42:28.749744</t>
        </is>
      </c>
      <c r="S285" t="inlineStr">
        <is>
          <t>{'let available date': 'Ask agent', 'deposit': 'Ask agent', 'min. tenancy': 'Ask agent', 'let type': 'Long term', 'furnish type': 'Ask agent', 'council tax': 'Ask agent'}</t>
        </is>
      </c>
      <c r="V285" t="b">
        <v>1</v>
      </c>
      <c r="X285" t="n">
        <v>20.97</v>
      </c>
      <c r="Y285" t="n">
        <v>48.9</v>
      </c>
      <c r="Z285">
        <f>IF(AND(ISNUMBER(B285), ISNUMBER(MIN(B$2:B$486)), ISNUMBER(MAX(B$2:B$486))), IF(MAX(B$2:B$486)=MIN(B$2:B$486), 50, ROUND((MAX(B$2:B$486)-B285)/(MAX(B$2:B$486)-MIN(B$2:B$486))*100, 2)), "")</f>
        <v/>
      </c>
      <c r="AA285">
        <f>IF(AND(ISNUMBER(X285), ISNUMBER(MIN(X$2:X$486)), ISNUMBER(MAX(X$2:X$486))), IF(MAX(X$2:X$486)=MIN(X$2:X$486), 50, ROUND((MAX(X$2:X$486)-X285)/(MAX(X$2:X$486)-MIN(X$2:X$486))*100, 2)), "")</f>
        <v/>
      </c>
      <c r="AB285">
        <f>IF(AND(ISNUMBER(U285), ISNUMBER(MIN(U$2:U$486)), ISNUMBER(MAX(U$2:U$486))), IF(MAX(U$2:U$486)=MIN(U$2:U$486), 50, ROUND((U285-MIN(U$2:U$486))/(MAX(U$2:U$486)-MIN(U$2:U$486))*100, 2)), "")</f>
        <v/>
      </c>
      <c r="AC285">
        <f>IF(AND(ISNUMBER(Z285), ISNUMBER(AA285), ISNUMBER(AB285)), ROUND((Z285+AA285+AB285)/3, 2), "")</f>
        <v/>
      </c>
    </row>
    <row r="286">
      <c r="A286" t="n">
        <v>167846243</v>
      </c>
      <c r="B286" t="n">
        <v>1700</v>
      </c>
      <c r="C286" t="inlineStr">
        <is>
          <t>£1,700 pcm</t>
        </is>
      </c>
      <c r="D286" t="inlineStr">
        <is>
          <t>monthly</t>
        </is>
      </c>
      <c r="E286" t="inlineStr">
        <is>
          <t>Flat</t>
        </is>
      </c>
      <c r="F286" t="n">
        <v>2</v>
      </c>
      <c r="G286" t="n">
        <v>1</v>
      </c>
      <c r="H286" t="inlineStr">
        <is>
          <t>A Caxton Road, London</t>
        </is>
      </c>
      <c r="I286" t="inlineStr">
        <is>
          <t>Welcome to this charming two bedroom ground floor apartment in the heart of Wimbledon! Located just a stone's throw away from the bustling center of Wimbledon and a mere 30 seconds walk to Haydons Road Thames Link BR, this property offers convenience and easy access to all the amenities the area ...</t>
        </is>
      </c>
      <c r="J286" t="inlineStr">
        <is>
          <t>https://www.rightmove.co.uk/properties/167846243#/?channel=RES_LET</t>
        </is>
      </c>
      <c r="K286" t="inlineStr">
        <is>
          <t>/property-to-rent/contactBranch.html?propertyId=167846243</t>
        </is>
      </c>
      <c r="L286" t="inlineStr">
        <is>
          <t>Sharpes Estates Ltd, Colliers Wood</t>
        </is>
      </c>
      <c r="M286" t="n">
        <v>5353</v>
      </c>
      <c r="N286" t="inlineStr">
        <is>
          <t>Added on 06/10/2025</t>
        </is>
      </c>
      <c r="O286" t="inlineStr">
        <is>
          <t>2025-10-06T11:44:13Z</t>
        </is>
      </c>
      <c r="R286" t="inlineStr">
        <is>
          <t>2025-10-16T17:42:28.749747</t>
        </is>
      </c>
      <c r="S286" t="inlineStr">
        <is>
          <t>{'let available date': '01/12/2025', 'deposit': '£1,961', 'min. tenancy': 'Ask agent', 'let type': 'Long term', 'furnish type': 'Unfurnished', 'council tax': 'Ask agent'}</t>
        </is>
      </c>
      <c r="T286" t="n">
        <v>678</v>
      </c>
      <c r="U286" t="n">
        <v>63</v>
      </c>
      <c r="V286" t="b">
        <v>1</v>
      </c>
      <c r="X286" t="n">
        <v>13.41</v>
      </c>
      <c r="Y286" t="n">
        <v>47</v>
      </c>
      <c r="Z286">
        <f>IF(AND(ISNUMBER(B286), ISNUMBER(MIN(B$2:B$486)), ISNUMBER(MAX(B$2:B$486))), IF(MAX(B$2:B$486)=MIN(B$2:B$486), 50, ROUND((MAX(B$2:B$486)-B286)/(MAX(B$2:B$486)-MIN(B$2:B$486))*100, 2)), "")</f>
        <v/>
      </c>
      <c r="AA286">
        <f>IF(AND(ISNUMBER(X286), ISNUMBER(MIN(X$2:X$486)), ISNUMBER(MAX(X$2:X$486))), IF(MAX(X$2:X$486)=MIN(X$2:X$486), 50, ROUND((MAX(X$2:X$486)-X286)/(MAX(X$2:X$486)-MIN(X$2:X$486))*100, 2)), "")</f>
        <v/>
      </c>
      <c r="AB286">
        <f>IF(AND(ISNUMBER(U286), ISNUMBER(MIN(U$2:U$486)), ISNUMBER(MAX(U$2:U$486))), IF(MAX(U$2:U$486)=MIN(U$2:U$486), 50, ROUND((U286-MIN(U$2:U$486))/(MAX(U$2:U$486)-MIN(U$2:U$486))*100, 2)), "")</f>
        <v/>
      </c>
      <c r="AC286">
        <f>IF(AND(ISNUMBER(Z286), ISNUMBER(AA286), ISNUMBER(AB286)), ROUND((Z286+AA286+AB286)/3, 2), "")</f>
        <v/>
      </c>
    </row>
    <row r="287">
      <c r="A287" t="n">
        <v>167845388</v>
      </c>
      <c r="B287" t="n">
        <v>1675</v>
      </c>
      <c r="C287" t="inlineStr">
        <is>
          <t>£1,675 pcm</t>
        </is>
      </c>
      <c r="D287" t="inlineStr">
        <is>
          <t>monthly</t>
        </is>
      </c>
      <c r="E287" t="inlineStr">
        <is>
          <t>Apartment</t>
        </is>
      </c>
      <c r="F287" t="n">
        <v>2</v>
      </c>
      <c r="G287" t="n">
        <v>1</v>
      </c>
      <c r="H287" t="inlineStr">
        <is>
          <t>Medesenge Way, Palmers Green, London</t>
        </is>
      </c>
      <c r="I287" t="inlineStr">
        <is>
          <t>Two bedroom ground floor flat to rent in Palmers Green. The property comprise of two bedrooms, a three-piece bathroom suite, a separate living room and a modern kitchen with fitted appliances. The property is ideally located close to Palmers Green station, boasting excellent transport links and ...</t>
        </is>
      </c>
      <c r="J287" t="inlineStr">
        <is>
          <t>https://www.rightmove.co.uk/properties/167845388#/?channel=RES_LET</t>
        </is>
      </c>
      <c r="K287" t="inlineStr">
        <is>
          <t>/property-to-rent/contactBranch.html?propertyId=167845388</t>
        </is>
      </c>
      <c r="L287" t="inlineStr">
        <is>
          <t>David Astburys Ltd, Crouch End</t>
        </is>
      </c>
      <c r="M287" t="n">
        <v>176261</v>
      </c>
      <c r="N287" t="inlineStr">
        <is>
          <t>Added on 06/10/2025</t>
        </is>
      </c>
      <c r="O287" t="inlineStr">
        <is>
          <t>2025-10-06T11:30:58Z</t>
        </is>
      </c>
      <c r="R287" t="inlineStr">
        <is>
          <t>2025-10-16T17:42:28.749750</t>
        </is>
      </c>
      <c r="S287" t="inlineStr">
        <is>
          <t>{'let available date': 'Ask agent', 'deposit': '£1,933', 'min. tenancy': 'Ask agent', 'let type': 'Long term', 'furnish type': 'Ask agent', 'council tax': 'Ask agent'}</t>
        </is>
      </c>
      <c r="V287" t="b">
        <v>1</v>
      </c>
      <c r="X287" t="n">
        <v>13.87</v>
      </c>
      <c r="Y287" t="n">
        <v>50.5</v>
      </c>
      <c r="Z287">
        <f>IF(AND(ISNUMBER(B287), ISNUMBER(MIN(B$2:B$486)), ISNUMBER(MAX(B$2:B$486))), IF(MAX(B$2:B$486)=MIN(B$2:B$486), 50, ROUND((MAX(B$2:B$486)-B287)/(MAX(B$2:B$486)-MIN(B$2:B$486))*100, 2)), "")</f>
        <v/>
      </c>
      <c r="AA287">
        <f>IF(AND(ISNUMBER(X287), ISNUMBER(MIN(X$2:X$486)), ISNUMBER(MAX(X$2:X$486))), IF(MAX(X$2:X$486)=MIN(X$2:X$486), 50, ROUND((MAX(X$2:X$486)-X287)/(MAX(X$2:X$486)-MIN(X$2:X$486))*100, 2)), "")</f>
        <v/>
      </c>
      <c r="AB287">
        <f>IF(AND(ISNUMBER(U287), ISNUMBER(MIN(U$2:U$486)), ISNUMBER(MAX(U$2:U$486))), IF(MAX(U$2:U$486)=MIN(U$2:U$486), 50, ROUND((U287-MIN(U$2:U$486))/(MAX(U$2:U$486)-MIN(U$2:U$486))*100, 2)), "")</f>
        <v/>
      </c>
      <c r="AC287">
        <f>IF(AND(ISNUMBER(Z287), ISNUMBER(AA287), ISNUMBER(AB287)), ROUND((Z287+AA287+AB287)/3, 2), "")</f>
        <v/>
      </c>
    </row>
    <row r="288">
      <c r="A288" t="n">
        <v>166864112</v>
      </c>
      <c r="B288" t="n">
        <v>1350</v>
      </c>
      <c r="C288" t="inlineStr">
        <is>
          <t>£1,350 pcm</t>
        </is>
      </c>
      <c r="D288" t="inlineStr">
        <is>
          <t>monthly</t>
        </is>
      </c>
      <c r="E288" t="inlineStr">
        <is>
          <t>Flat</t>
        </is>
      </c>
      <c r="F288" t="n">
        <v>2</v>
      </c>
      <c r="H288" t="inlineStr">
        <is>
          <t>St. Mary's Road, London, SE25</t>
        </is>
      </c>
      <c r="I288" t="inlineStr">
        <is>
          <t>** Newly Redecorated Throughout ** ** Brand New Carpets ** ** 2 Bedrooms ** ** Unfurnished ** ** Available Now **</t>
        </is>
      </c>
      <c r="J288" t="inlineStr">
        <is>
          <t>https://www.rightmove.co.uk/properties/166864112#/?channel=RES_LET</t>
        </is>
      </c>
      <c r="K288" t="inlineStr">
        <is>
          <t>/property-to-rent/contactBranch.html?propertyId=166864112</t>
        </is>
      </c>
      <c r="L288" t="inlineStr">
        <is>
          <t>LG New Homes, London</t>
        </is>
      </c>
      <c r="M288" t="n">
        <v>80511</v>
      </c>
      <c r="N288" t="inlineStr">
        <is>
          <t>Reduced on 06/10/2025</t>
        </is>
      </c>
      <c r="O288" t="inlineStr">
        <is>
          <t>2025-09-11T10:38:31Z</t>
        </is>
      </c>
      <c r="Q288" t="inlineStr">
        <is>
          <t>SE25</t>
        </is>
      </c>
      <c r="R288" t="inlineStr">
        <is>
          <t>2025-10-16T17:42:28.749753</t>
        </is>
      </c>
      <c r="S288" t="inlineStr">
        <is>
          <t>{'let available date': 'Ask agent', 'deposit': 'Ask agent', 'min. tenancy': 'Ask agent', 'let type': 'Long term', 'furnish type': 'Unfurnished', 'council tax': 'Ask agent'}</t>
        </is>
      </c>
      <c r="V288" t="b">
        <v>1</v>
      </c>
      <c r="X288" t="n">
        <v>16.69</v>
      </c>
      <c r="Y288" t="n">
        <v>52.9</v>
      </c>
      <c r="Z288">
        <f>IF(AND(ISNUMBER(B288), ISNUMBER(MIN(B$2:B$486)), ISNUMBER(MAX(B$2:B$486))), IF(MAX(B$2:B$486)=MIN(B$2:B$486), 50, ROUND((MAX(B$2:B$486)-B288)/(MAX(B$2:B$486)-MIN(B$2:B$486))*100, 2)), "")</f>
        <v/>
      </c>
      <c r="AA288">
        <f>IF(AND(ISNUMBER(X288), ISNUMBER(MIN(X$2:X$486)), ISNUMBER(MAX(X$2:X$486))), IF(MAX(X$2:X$486)=MIN(X$2:X$486), 50, ROUND((MAX(X$2:X$486)-X288)/(MAX(X$2:X$486)-MIN(X$2:X$486))*100, 2)), "")</f>
        <v/>
      </c>
      <c r="AB288">
        <f>IF(AND(ISNUMBER(U288), ISNUMBER(MIN(U$2:U$486)), ISNUMBER(MAX(U$2:U$486))), IF(MAX(U$2:U$486)=MIN(U$2:U$486), 50, ROUND((U288-MIN(U$2:U$486))/(MAX(U$2:U$486)-MIN(U$2:U$486))*100, 2)), "")</f>
        <v/>
      </c>
      <c r="AC288">
        <f>IF(AND(ISNUMBER(Z288), ISNUMBER(AA288), ISNUMBER(AB288)), ROUND((Z288+AA288+AB288)/3, 2), "")</f>
        <v/>
      </c>
    </row>
    <row r="289">
      <c r="A289" t="n">
        <v>167425097</v>
      </c>
      <c r="B289" t="n">
        <v>1350</v>
      </c>
      <c r="C289" t="inlineStr">
        <is>
          <t>£1,350 pcm</t>
        </is>
      </c>
      <c r="D289" t="inlineStr">
        <is>
          <t>monthly</t>
        </is>
      </c>
      <c r="E289" t="inlineStr">
        <is>
          <t>Apartment</t>
        </is>
      </c>
      <c r="F289" t="n">
        <v>2</v>
      </c>
      <c r="G289" t="n">
        <v>1</v>
      </c>
      <c r="H289" t="inlineStr">
        <is>
          <t>St Marys Road, South Norwood</t>
        </is>
      </c>
      <c r="I289" t="inlineStr">
        <is>
          <t>LOVELY NEWLY RENOVATED TOP FLOOR 2 BEDROOM FLAT CONVENIENTLY SITUATED FOR SOUTH NORWOOD HIGH STREET, MANY BUS ROUTES, NORWOOD JUNCTION OVERGROUND STATION AND NORWOOD LAKES.. Open plan lounge/kitchen, Bathroom, two double bedrooms and GCH, double glazed windows Unfurnished. Available NOW!</t>
        </is>
      </c>
      <c r="J289" t="inlineStr">
        <is>
          <t>https://www.rightmove.co.uk/properties/167425097#/?channel=RES_LET</t>
        </is>
      </c>
      <c r="K289" t="inlineStr">
        <is>
          <t>/property-to-rent/contactBranch.html?propertyId=167425097</t>
        </is>
      </c>
      <c r="L289" t="inlineStr">
        <is>
          <t>Martin &amp; Co, Croydon</t>
        </is>
      </c>
      <c r="M289" t="n">
        <v>9205</v>
      </c>
      <c r="N289" t="inlineStr">
        <is>
          <t>Reduced on 06/10/2025</t>
        </is>
      </c>
      <c r="O289" t="inlineStr">
        <is>
          <t>2025-09-25T15:25:42Z</t>
        </is>
      </c>
      <c r="R289" t="inlineStr">
        <is>
          <t>2025-10-16T17:42:28.749756</t>
        </is>
      </c>
      <c r="S289" t="inlineStr">
        <is>
          <t>{'let available date': 'Now', 'deposit': '£1,616', 'min. tenancy': 'Ask agent', 'let type': 'Long term', 'furnish type': 'Unfurnished', 'council tax': 'Ask agent'}</t>
        </is>
      </c>
      <c r="V289" t="b">
        <v>1</v>
      </c>
      <c r="X289" t="n">
        <v>16.05</v>
      </c>
      <c r="Y289" t="n">
        <v>50.6</v>
      </c>
      <c r="Z289">
        <f>IF(AND(ISNUMBER(B289), ISNUMBER(MIN(B$2:B$486)), ISNUMBER(MAX(B$2:B$486))), IF(MAX(B$2:B$486)=MIN(B$2:B$486), 50, ROUND((MAX(B$2:B$486)-B289)/(MAX(B$2:B$486)-MIN(B$2:B$486))*100, 2)), "")</f>
        <v/>
      </c>
      <c r="AA289">
        <f>IF(AND(ISNUMBER(X289), ISNUMBER(MIN(X$2:X$486)), ISNUMBER(MAX(X$2:X$486))), IF(MAX(X$2:X$486)=MIN(X$2:X$486), 50, ROUND((MAX(X$2:X$486)-X289)/(MAX(X$2:X$486)-MIN(X$2:X$486))*100, 2)), "")</f>
        <v/>
      </c>
      <c r="AB289">
        <f>IF(AND(ISNUMBER(U289), ISNUMBER(MIN(U$2:U$486)), ISNUMBER(MAX(U$2:U$486))), IF(MAX(U$2:U$486)=MIN(U$2:U$486), 50, ROUND((U289-MIN(U$2:U$486))/(MAX(U$2:U$486)-MIN(U$2:U$486))*100, 2)), "")</f>
        <v/>
      </c>
      <c r="AC289">
        <f>IF(AND(ISNUMBER(Z289), ISNUMBER(AA289), ISNUMBER(AB289)), ROUND((Z289+AA289+AB289)/3, 2), "")</f>
        <v/>
      </c>
    </row>
    <row r="290">
      <c r="A290" t="n">
        <v>166623164</v>
      </c>
      <c r="B290" t="n">
        <v>1700</v>
      </c>
      <c r="C290" t="inlineStr">
        <is>
          <t>£1,700 pcm</t>
        </is>
      </c>
      <c r="D290" t="inlineStr">
        <is>
          <t>monthly</t>
        </is>
      </c>
      <c r="E290" t="inlineStr">
        <is>
          <t>Flat</t>
        </is>
      </c>
      <c r="F290" t="n">
        <v>2</v>
      </c>
      <c r="G290" t="n">
        <v>1</v>
      </c>
      <c r="H290" t="inlineStr">
        <is>
          <t>Truro Road, London, N22 8DP</t>
        </is>
      </c>
      <c r="I290" t="inlineStr">
        <is>
          <t xml:space="preserve">Spacious 2 bedroom flat to rent, set on the 2nd floor of a purpose built block. Offered fully furnished and with great transport links of both Bounds Green &amp; Wood Green Shopping Centre close by. Available mid October 2025, exclusively with Network Agencies. </t>
        </is>
      </c>
      <c r="J290" t="inlineStr">
        <is>
          <t>https://www.rightmove.co.uk/properties/166623164#/?channel=RES_LET</t>
        </is>
      </c>
      <c r="K290" t="inlineStr">
        <is>
          <t>/property-to-rent/contactBranch.html?propertyId=166623164</t>
        </is>
      </c>
      <c r="L290" t="inlineStr">
        <is>
          <t>Network Agencies, Finsbury Park</t>
        </is>
      </c>
      <c r="M290" t="n">
        <v>53310</v>
      </c>
      <c r="N290" t="inlineStr">
        <is>
          <t>Reduced on 06/10/2025</t>
        </is>
      </c>
      <c r="O290" t="inlineStr">
        <is>
          <t>2025-09-05T10:56:53Z</t>
        </is>
      </c>
      <c r="Q290" t="inlineStr">
        <is>
          <t>N22</t>
        </is>
      </c>
      <c r="R290" t="inlineStr">
        <is>
          <t>2025-10-16T17:42:28.749758</t>
        </is>
      </c>
      <c r="S290" t="inlineStr">
        <is>
          <t>{'let available date': '21/10/2025', 'deposit': 'Ask agent', 'min. tenancy': 'Ask agent', 'let type': 'Long term', 'furnish type': 'Furnished', 'council tax': 'Ask agent'}</t>
        </is>
      </c>
      <c r="T290" t="n">
        <v>727</v>
      </c>
      <c r="U290" t="n">
        <v>68</v>
      </c>
      <c r="V290" t="b">
        <v>1</v>
      </c>
      <c r="X290" t="n">
        <v>12.67</v>
      </c>
      <c r="Y290" t="n">
        <v>48.1</v>
      </c>
      <c r="Z290">
        <f>IF(AND(ISNUMBER(B290), ISNUMBER(MIN(B$2:B$486)), ISNUMBER(MAX(B$2:B$486))), IF(MAX(B$2:B$486)=MIN(B$2:B$486), 50, ROUND((MAX(B$2:B$486)-B290)/(MAX(B$2:B$486)-MIN(B$2:B$486))*100, 2)), "")</f>
        <v/>
      </c>
      <c r="AA290">
        <f>IF(AND(ISNUMBER(X290), ISNUMBER(MIN(X$2:X$486)), ISNUMBER(MAX(X$2:X$486))), IF(MAX(X$2:X$486)=MIN(X$2:X$486), 50, ROUND((MAX(X$2:X$486)-X290)/(MAX(X$2:X$486)-MIN(X$2:X$486))*100, 2)), "")</f>
        <v/>
      </c>
      <c r="AB290">
        <f>IF(AND(ISNUMBER(U290), ISNUMBER(MIN(U$2:U$486)), ISNUMBER(MAX(U$2:U$486))), IF(MAX(U$2:U$486)=MIN(U$2:U$486), 50, ROUND((U290-MIN(U$2:U$486))/(MAX(U$2:U$486)-MIN(U$2:U$486))*100, 2)), "")</f>
        <v/>
      </c>
      <c r="AC290">
        <f>IF(AND(ISNUMBER(Z290), ISNUMBER(AA290), ISNUMBER(AB290)), ROUND((Z290+AA290+AB290)/3, 2), "")</f>
        <v/>
      </c>
    </row>
    <row r="291">
      <c r="A291" t="n">
        <v>167838671</v>
      </c>
      <c r="B291" t="n">
        <v>1750</v>
      </c>
      <c r="C291" t="inlineStr">
        <is>
          <t>£1,750 pcm</t>
        </is>
      </c>
      <c r="D291" t="inlineStr">
        <is>
          <t>monthly</t>
        </is>
      </c>
      <c r="E291" t="inlineStr">
        <is>
          <t>Flat</t>
        </is>
      </c>
      <c r="F291" t="n">
        <v>2</v>
      </c>
      <c r="G291" t="n">
        <v>1</v>
      </c>
      <c r="H291" t="inlineStr">
        <is>
          <t>Colney Hatch Lane, London</t>
        </is>
      </c>
      <c r="I291" t="inlineStr">
        <is>
          <t>A bright top floor two bedroom flat set with this period conversion on Colney Hatch Lane located on the top end of Muswell Hill. The property has a bright reception room with laminate flooring, seperate kitchen, two bedrooms and bathroom.</t>
        </is>
      </c>
      <c r="J291" t="inlineStr">
        <is>
          <t>https://www.rightmove.co.uk/properties/167838671#/?channel=RES_LET</t>
        </is>
      </c>
      <c r="K291" t="inlineStr">
        <is>
          <t>/property-to-rent/contactBranch.html?propertyId=167838671</t>
        </is>
      </c>
      <c r="L291" t="inlineStr">
        <is>
          <t>Dexters, Muswell Hill</t>
        </is>
      </c>
      <c r="M291" t="n">
        <v>47660</v>
      </c>
      <c r="N291" t="inlineStr">
        <is>
          <t>Added on 06/10/2025</t>
        </is>
      </c>
      <c r="O291" t="inlineStr">
        <is>
          <t>2025-10-06T10:06:30Z</t>
        </is>
      </c>
      <c r="R291" t="inlineStr">
        <is>
          <t>2025-10-16T17:42:28.749761</t>
        </is>
      </c>
      <c r="S291" t="inlineStr">
        <is>
          <t>{'let available date': 'Ask agent', 'deposit': '£2,019', 'min. tenancy': 'Ask agent', 'let type': 'Long term', 'furnish type': 'Furnished', 'council tax': 'Ask agent'}</t>
        </is>
      </c>
      <c r="V291" t="b">
        <v>1</v>
      </c>
      <c r="X291" t="n">
        <v>11.94</v>
      </c>
      <c r="Y291" t="n">
        <v>43.6</v>
      </c>
      <c r="Z291">
        <f>IF(AND(ISNUMBER(B291), ISNUMBER(MIN(B$2:B$486)), ISNUMBER(MAX(B$2:B$486))), IF(MAX(B$2:B$486)=MIN(B$2:B$486), 50, ROUND((MAX(B$2:B$486)-B291)/(MAX(B$2:B$486)-MIN(B$2:B$486))*100, 2)), "")</f>
        <v/>
      </c>
      <c r="AA291">
        <f>IF(AND(ISNUMBER(X291), ISNUMBER(MIN(X$2:X$486)), ISNUMBER(MAX(X$2:X$486))), IF(MAX(X$2:X$486)=MIN(X$2:X$486), 50, ROUND((MAX(X$2:X$486)-X291)/(MAX(X$2:X$486)-MIN(X$2:X$486))*100, 2)), "")</f>
        <v/>
      </c>
      <c r="AB291">
        <f>IF(AND(ISNUMBER(U291), ISNUMBER(MIN(U$2:U$486)), ISNUMBER(MAX(U$2:U$486))), IF(MAX(U$2:U$486)=MIN(U$2:U$486), 50, ROUND((U291-MIN(U$2:U$486))/(MAX(U$2:U$486)-MIN(U$2:U$486))*100, 2)), "")</f>
        <v/>
      </c>
      <c r="AC291">
        <f>IF(AND(ISNUMBER(Z291), ISNUMBER(AA291), ISNUMBER(AB291)), ROUND((Z291+AA291+AB291)/3, 2), "")</f>
        <v/>
      </c>
    </row>
    <row r="292">
      <c r="A292" t="n">
        <v>167113016</v>
      </c>
      <c r="B292" t="n">
        <v>1750</v>
      </c>
      <c r="C292" t="inlineStr">
        <is>
          <t>£1,750 pcm</t>
        </is>
      </c>
      <c r="D292" t="inlineStr">
        <is>
          <t>monthly</t>
        </is>
      </c>
      <c r="E292" t="inlineStr">
        <is>
          <t>Maisonette</t>
        </is>
      </c>
      <c r="F292" t="n">
        <v>2</v>
      </c>
      <c r="G292" t="n">
        <v>1</v>
      </c>
      <c r="H292" t="inlineStr">
        <is>
          <t>Field Place, New Malden</t>
        </is>
      </c>
      <c r="I292" t="inlineStr">
        <is>
          <t>Parry &amp; Drewett are pleased to off this well presented two ground first floor maisonette with private garden conveniently located with easy access to the A3 and excellent transport links to Kingston and New Malden Town Centre and Mainline Station to London Waterloo (Zone 4). Accommodation com...</t>
        </is>
      </c>
      <c r="J292" t="inlineStr">
        <is>
          <t>https://www.rightmove.co.uk/properties/167113016#/?channel=RES_LET</t>
        </is>
      </c>
      <c r="K292" t="inlineStr">
        <is>
          <t>/property-to-rent/contactBranch.html?propertyId=167113016</t>
        </is>
      </c>
      <c r="L292" t="inlineStr">
        <is>
          <t>Parry &amp; Drewett, Surrey</t>
        </is>
      </c>
      <c r="M292" t="n">
        <v>78770</v>
      </c>
      <c r="N292" t="inlineStr">
        <is>
          <t>Reduced on 06/10/2025</t>
        </is>
      </c>
      <c r="O292" t="inlineStr">
        <is>
          <t>2025-09-17T17:12:36Z</t>
        </is>
      </c>
      <c r="R292" t="inlineStr">
        <is>
          <t>2025-10-16T17:42:28.749763</t>
        </is>
      </c>
      <c r="S292" t="inlineStr">
        <is>
          <t>{'let available date': 'Now', 'deposit': '£2,019', 'min. tenancy': 'Ask agent', 'let type': 'Long term', 'furnish type': 'Unfurnished', 'council tax': 'Ask agent'}</t>
        </is>
      </c>
      <c r="V292" t="b">
        <v>1</v>
      </c>
      <c r="X292" t="n">
        <v>20.89</v>
      </c>
      <c r="Y292" t="n">
        <v>56.7</v>
      </c>
      <c r="Z292">
        <f>IF(AND(ISNUMBER(B292), ISNUMBER(MIN(B$2:B$486)), ISNUMBER(MAX(B$2:B$486))), IF(MAX(B$2:B$486)=MIN(B$2:B$486), 50, ROUND((MAX(B$2:B$486)-B292)/(MAX(B$2:B$486)-MIN(B$2:B$486))*100, 2)), "")</f>
        <v/>
      </c>
      <c r="AA292">
        <f>IF(AND(ISNUMBER(X292), ISNUMBER(MIN(X$2:X$486)), ISNUMBER(MAX(X$2:X$486))), IF(MAX(X$2:X$486)=MIN(X$2:X$486), 50, ROUND((MAX(X$2:X$486)-X292)/(MAX(X$2:X$486)-MIN(X$2:X$486))*100, 2)), "")</f>
        <v/>
      </c>
      <c r="AB292">
        <f>IF(AND(ISNUMBER(U292), ISNUMBER(MIN(U$2:U$486)), ISNUMBER(MAX(U$2:U$486))), IF(MAX(U$2:U$486)=MIN(U$2:U$486), 50, ROUND((U292-MIN(U$2:U$486))/(MAX(U$2:U$486)-MIN(U$2:U$486))*100, 2)), "")</f>
        <v/>
      </c>
      <c r="AC292">
        <f>IF(AND(ISNUMBER(Z292), ISNUMBER(AA292), ISNUMBER(AB292)), ROUND((Z292+AA292+AB292)/3, 2), "")</f>
        <v/>
      </c>
    </row>
    <row r="293">
      <c r="A293" t="n">
        <v>167825021</v>
      </c>
      <c r="B293" t="n">
        <v>1750</v>
      </c>
      <c r="C293" t="inlineStr">
        <is>
          <t>£1,750 pcm</t>
        </is>
      </c>
      <c r="D293" t="inlineStr">
        <is>
          <t>monthly</t>
        </is>
      </c>
      <c r="E293" t="inlineStr">
        <is>
          <t>Flat</t>
        </is>
      </c>
      <c r="F293" t="n">
        <v>2</v>
      </c>
      <c r="G293" t="n">
        <v>1</v>
      </c>
      <c r="H293" t="inlineStr">
        <is>
          <t>Harlinger Street, London, SE18</t>
        </is>
      </c>
      <c r="I293" t="inlineStr">
        <is>
          <t>Stunning Views Over The River Thames Secure Building Good Transport Links Residents' Off Street Parking Royal Borough of Greenwich Council Tax Band: B EPC Rating: C Offered Furnished or Unfurnish... ** Property Reference: 2648452 **</t>
        </is>
      </c>
      <c r="J293" t="inlineStr">
        <is>
          <t>https://www.rightmove.co.uk/properties/167825021#/?channel=RES_LET</t>
        </is>
      </c>
      <c r="K293" t="inlineStr">
        <is>
          <t>/property-to-rent/contactBranch.html?propertyId=167825021</t>
        </is>
      </c>
      <c r="L293" t="inlineStr">
        <is>
          <t>OpenRent, London</t>
        </is>
      </c>
      <c r="M293" t="n">
        <v>96668</v>
      </c>
      <c r="N293" t="inlineStr">
        <is>
          <t>Added on 05/10/2025</t>
        </is>
      </c>
      <c r="O293" t="inlineStr">
        <is>
          <t>2025-10-05T20:07:41Z</t>
        </is>
      </c>
      <c r="Q293" t="inlineStr">
        <is>
          <t>SE18</t>
        </is>
      </c>
      <c r="R293" t="inlineStr">
        <is>
          <t>2025-10-16T17:42:30.202865</t>
        </is>
      </c>
      <c r="S293" t="inlineStr">
        <is>
          <t>{'let available date': '24/11/2025', 'deposit': '£1,750', 'min. tenancy': 'Ask agent', 'let type': 'Long term', 'furnish type': 'Furnished or unfurnished, landlord is flexible', 'council tax': 'Ask agent'}</t>
        </is>
      </c>
      <c r="V293" t="b">
        <v>1</v>
      </c>
      <c r="X293" t="n">
        <v>20.83</v>
      </c>
      <c r="Y293" t="n">
        <v>51.8</v>
      </c>
      <c r="Z293">
        <f>IF(AND(ISNUMBER(B293), ISNUMBER(MIN(B$2:B$486)), ISNUMBER(MAX(B$2:B$486))), IF(MAX(B$2:B$486)=MIN(B$2:B$486), 50, ROUND((MAX(B$2:B$486)-B293)/(MAX(B$2:B$486)-MIN(B$2:B$486))*100, 2)), "")</f>
        <v/>
      </c>
      <c r="AA293">
        <f>IF(AND(ISNUMBER(X293), ISNUMBER(MIN(X$2:X$486)), ISNUMBER(MAX(X$2:X$486))), IF(MAX(X$2:X$486)=MIN(X$2:X$486), 50, ROUND((MAX(X$2:X$486)-X293)/(MAX(X$2:X$486)-MIN(X$2:X$486))*100, 2)), "")</f>
        <v/>
      </c>
      <c r="AB293">
        <f>IF(AND(ISNUMBER(U293), ISNUMBER(MIN(U$2:U$486)), ISNUMBER(MAX(U$2:U$486))), IF(MAX(U$2:U$486)=MIN(U$2:U$486), 50, ROUND((U293-MIN(U$2:U$486))/(MAX(U$2:U$486)-MIN(U$2:U$486))*100, 2)), "")</f>
        <v/>
      </c>
      <c r="AC293">
        <f>IF(AND(ISNUMBER(Z293), ISNUMBER(AA293), ISNUMBER(AB293)), ROUND((Z293+AA293+AB293)/3, 2), "")</f>
        <v/>
      </c>
    </row>
    <row r="294">
      <c r="A294" t="n">
        <v>168258137</v>
      </c>
      <c r="B294" t="n">
        <v>1600</v>
      </c>
      <c r="C294" t="inlineStr">
        <is>
          <t>£1,600 pcm</t>
        </is>
      </c>
      <c r="D294" t="inlineStr">
        <is>
          <t>monthly</t>
        </is>
      </c>
      <c r="E294" t="inlineStr">
        <is>
          <t>Flat</t>
        </is>
      </c>
      <c r="F294" t="n">
        <v>2</v>
      </c>
      <c r="G294" t="n">
        <v>1</v>
      </c>
      <c r="H294" t="inlineStr">
        <is>
          <t>Ballamore Road, London, BR1</t>
        </is>
      </c>
      <c r="I294" t="inlineStr">
        <is>
          <t>We are proud to offer this delightful 2 bedroom, 1 bathroom flat in a great location. Recently upgraded bedroom, kitchen and bathroom flooring. 2nd floor flat, private garden but not attached to t... ** Property Reference: 1143980 **</t>
        </is>
      </c>
      <c r="J294" t="inlineStr">
        <is>
          <t>https://www.rightmove.co.uk/properties/168258137#/?channel=RES_LET</t>
        </is>
      </c>
      <c r="K294" t="inlineStr">
        <is>
          <t>/property-to-rent/contactBranch.html?propertyId=168258137</t>
        </is>
      </c>
      <c r="L294" t="inlineStr">
        <is>
          <t>OpenRent, London</t>
        </is>
      </c>
      <c r="M294" t="n">
        <v>96668</v>
      </c>
      <c r="N294" t="inlineStr">
        <is>
          <t>Added on 04/10/2025</t>
        </is>
      </c>
      <c r="O294" t="inlineStr">
        <is>
          <t>2025-10-16T12:46:47Z</t>
        </is>
      </c>
      <c r="Q294" t="inlineStr">
        <is>
          <t>BR1</t>
        </is>
      </c>
      <c r="R294" t="inlineStr">
        <is>
          <t>2025-10-16T17:42:30.202870</t>
        </is>
      </c>
      <c r="S294" t="inlineStr">
        <is>
          <t>{'let available date': 'Now', 'deposit': '£1,846', 'min. tenancy': 'Ask agent', 'let type': 'Long term', 'furnish type': 'Unfurnished', 'council tax': 'Ask agent'}</t>
        </is>
      </c>
      <c r="V294" t="b">
        <v>1</v>
      </c>
      <c r="X294" t="n">
        <v>27.61</v>
      </c>
      <c r="Y294" t="n">
        <v>60.2</v>
      </c>
      <c r="Z294">
        <f>IF(AND(ISNUMBER(B294), ISNUMBER(MIN(B$2:B$486)), ISNUMBER(MAX(B$2:B$486))), IF(MAX(B$2:B$486)=MIN(B$2:B$486), 50, ROUND((MAX(B$2:B$486)-B294)/(MAX(B$2:B$486)-MIN(B$2:B$486))*100, 2)), "")</f>
        <v/>
      </c>
      <c r="AA294">
        <f>IF(AND(ISNUMBER(X294), ISNUMBER(MIN(X$2:X$486)), ISNUMBER(MAX(X$2:X$486))), IF(MAX(X$2:X$486)=MIN(X$2:X$486), 50, ROUND((MAX(X$2:X$486)-X294)/(MAX(X$2:X$486)-MIN(X$2:X$486))*100, 2)), "")</f>
        <v/>
      </c>
      <c r="AB294">
        <f>IF(AND(ISNUMBER(U294), ISNUMBER(MIN(U$2:U$486)), ISNUMBER(MAX(U$2:U$486))), IF(MAX(U$2:U$486)=MIN(U$2:U$486), 50, ROUND((U294-MIN(U$2:U$486))/(MAX(U$2:U$486)-MIN(U$2:U$486))*100, 2)), "")</f>
        <v/>
      </c>
      <c r="AC294">
        <f>IF(AND(ISNUMBER(Z294), ISNUMBER(AA294), ISNUMBER(AB294)), ROUND((Z294+AA294+AB294)/3, 2), "")</f>
        <v/>
      </c>
    </row>
    <row r="295">
      <c r="A295" t="n">
        <v>167854769</v>
      </c>
      <c r="B295" t="n">
        <v>1550</v>
      </c>
      <c r="C295" t="inlineStr">
        <is>
          <t>£1,550 pcm</t>
        </is>
      </c>
      <c r="D295" t="inlineStr">
        <is>
          <t>monthly</t>
        </is>
      </c>
      <c r="E295" t="inlineStr">
        <is>
          <t>Flat</t>
        </is>
      </c>
      <c r="F295" t="n">
        <v>2</v>
      </c>
      <c r="G295" t="n">
        <v>1</v>
      </c>
      <c r="H295" t="inlineStr">
        <is>
          <t>Elm Park Road, N21</t>
        </is>
      </c>
      <c r="I295" t="inlineStr">
        <is>
          <t>Addison Townsend are pleased to offer this ground floor conversion situated in a quiet residential turning in Winchmore Hill. The property is located within 0.4miles of Winchmore Hill Overground and is within close proxmity to local shops,</t>
        </is>
      </c>
      <c r="J295" t="inlineStr">
        <is>
          <t>https://www.rightmove.co.uk/properties/167854769#/?channel=RES_LET</t>
        </is>
      </c>
      <c r="K295" t="inlineStr">
        <is>
          <t>/property-to-rent/contactBranch.html?propertyId=167854769</t>
        </is>
      </c>
      <c r="L295" t="inlineStr">
        <is>
          <t>Addison Townsend, Southgate</t>
        </is>
      </c>
      <c r="M295" t="n">
        <v>38757</v>
      </c>
      <c r="N295" t="inlineStr">
        <is>
          <t>Added on 04/10/2025</t>
        </is>
      </c>
      <c r="O295" t="inlineStr">
        <is>
          <t>2025-10-06T13:41:55Z</t>
        </is>
      </c>
      <c r="Q295" t="inlineStr">
        <is>
          <t>N21</t>
        </is>
      </c>
      <c r="R295" t="inlineStr">
        <is>
          <t>2025-10-16T17:42:30.202873</t>
        </is>
      </c>
      <c r="S295" t="inlineStr">
        <is>
          <t>{'let available date': 'Now', 'deposit': '£1,788', 'min. tenancy': 'Ask agent', 'let type': 'Long term', 'furnish type': 'Part furnished', 'council tax': 'Ask agent'}</t>
        </is>
      </c>
      <c r="V295" t="b">
        <v>1</v>
      </c>
      <c r="X295" t="n">
        <v>20.41</v>
      </c>
      <c r="Y295" t="n">
        <v>55.4</v>
      </c>
      <c r="Z295">
        <f>IF(AND(ISNUMBER(B295), ISNUMBER(MIN(B$2:B$486)), ISNUMBER(MAX(B$2:B$486))), IF(MAX(B$2:B$486)=MIN(B$2:B$486), 50, ROUND((MAX(B$2:B$486)-B295)/(MAX(B$2:B$486)-MIN(B$2:B$486))*100, 2)), "")</f>
        <v/>
      </c>
      <c r="AA295">
        <f>IF(AND(ISNUMBER(X295), ISNUMBER(MIN(X$2:X$486)), ISNUMBER(MAX(X$2:X$486))), IF(MAX(X$2:X$486)=MIN(X$2:X$486), 50, ROUND((MAX(X$2:X$486)-X295)/(MAX(X$2:X$486)-MIN(X$2:X$486))*100, 2)), "")</f>
        <v/>
      </c>
      <c r="AB295">
        <f>IF(AND(ISNUMBER(U295), ISNUMBER(MIN(U$2:U$486)), ISNUMBER(MAX(U$2:U$486))), IF(MAX(U$2:U$486)=MIN(U$2:U$486), 50, ROUND((U295-MIN(U$2:U$486))/(MAX(U$2:U$486)-MIN(U$2:U$486))*100, 2)), "")</f>
        <v/>
      </c>
      <c r="AC295">
        <f>IF(AND(ISNUMBER(Z295), ISNUMBER(AA295), ISNUMBER(AB295)), ROUND((Z295+AA295+AB295)/3, 2), "")</f>
        <v/>
      </c>
    </row>
    <row r="296">
      <c r="A296" t="n">
        <v>168042533</v>
      </c>
      <c r="B296" t="n">
        <v>1600</v>
      </c>
      <c r="C296" t="inlineStr">
        <is>
          <t>£1,600 pcm</t>
        </is>
      </c>
      <c r="D296" t="inlineStr">
        <is>
          <t>monthly</t>
        </is>
      </c>
      <c r="E296" t="inlineStr">
        <is>
          <t>Apartment</t>
        </is>
      </c>
      <c r="F296" t="n">
        <v>2</v>
      </c>
      <c r="G296" t="n">
        <v>1</v>
      </c>
      <c r="H296" t="inlineStr">
        <is>
          <t>The Broadway, Mill Hill, NW7</t>
        </is>
      </c>
      <c r="I296" t="inlineStr">
        <is>
          <t>** VIDEO LINK ** Extremely spacious two double bedroom split level maisonette. Access to this great property is on the ground floor with its own entrance and an internal staircase to the first floor. Two double bedrooms, large reception with bay window, large fully fitted (including dishwasher), ...</t>
        </is>
      </c>
      <c r="J296" t="inlineStr">
        <is>
          <t>https://www.rightmove.co.uk/properties/168042533#/?channel=RES_LET</t>
        </is>
      </c>
      <c r="K296" t="inlineStr">
        <is>
          <t>/property-to-rent/contactBranch.html?propertyId=168042533</t>
        </is>
      </c>
      <c r="L296" t="inlineStr">
        <is>
          <t>Peter Martin, NW11</t>
        </is>
      </c>
      <c r="M296" t="n">
        <v>202550</v>
      </c>
      <c r="N296" t="inlineStr">
        <is>
          <t>Reduced on 04/10/2025</t>
        </is>
      </c>
      <c r="O296" t="inlineStr">
        <is>
          <t>2025-10-09T15:15:41Z</t>
        </is>
      </c>
      <c r="Q296" t="inlineStr">
        <is>
          <t>NW7</t>
        </is>
      </c>
      <c r="R296" t="inlineStr">
        <is>
          <t>2025-10-16T17:42:30.202876</t>
        </is>
      </c>
      <c r="S296" t="inlineStr">
        <is>
          <t>{'let available date': '04/11/2025', 'deposit': '£1,846', 'min. tenancy': 'Ask agent', 'let type': 'Long term', 'furnish type': 'Ask agent', 'council tax': 'Ask agent'}</t>
        </is>
      </c>
      <c r="V296" t="b">
        <v>1</v>
      </c>
      <c r="X296" t="n">
        <v>17.56</v>
      </c>
      <c r="Y296" t="n">
        <v>49.1</v>
      </c>
      <c r="Z296">
        <f>IF(AND(ISNUMBER(B296), ISNUMBER(MIN(B$2:B$486)), ISNUMBER(MAX(B$2:B$486))), IF(MAX(B$2:B$486)=MIN(B$2:B$486), 50, ROUND((MAX(B$2:B$486)-B296)/(MAX(B$2:B$486)-MIN(B$2:B$486))*100, 2)), "")</f>
        <v/>
      </c>
      <c r="AA296">
        <f>IF(AND(ISNUMBER(X296), ISNUMBER(MIN(X$2:X$486)), ISNUMBER(MAX(X$2:X$486))), IF(MAX(X$2:X$486)=MIN(X$2:X$486), 50, ROUND((MAX(X$2:X$486)-X296)/(MAX(X$2:X$486)-MIN(X$2:X$486))*100, 2)), "")</f>
        <v/>
      </c>
      <c r="AB296">
        <f>IF(AND(ISNUMBER(U296), ISNUMBER(MIN(U$2:U$486)), ISNUMBER(MAX(U$2:U$486))), IF(MAX(U$2:U$486)=MIN(U$2:U$486), 50, ROUND((U296-MIN(U$2:U$486))/(MAX(U$2:U$486)-MIN(U$2:U$486))*100, 2)), "")</f>
        <v/>
      </c>
      <c r="AC296">
        <f>IF(AND(ISNUMBER(Z296), ISNUMBER(AA296), ISNUMBER(AB296)), ROUND((Z296+AA296+AB296)/3, 2), "")</f>
        <v/>
      </c>
    </row>
    <row r="297">
      <c r="A297" t="n">
        <v>167187203</v>
      </c>
      <c r="B297" t="n">
        <v>1650</v>
      </c>
      <c r="C297" t="inlineStr">
        <is>
          <t>£1,650 pcm</t>
        </is>
      </c>
      <c r="D297" t="inlineStr">
        <is>
          <t>monthly</t>
        </is>
      </c>
      <c r="E297" t="inlineStr">
        <is>
          <t>Flat</t>
        </is>
      </c>
      <c r="F297" t="n">
        <v>2</v>
      </c>
      <c r="G297" t="n">
        <v>1</v>
      </c>
      <c r="H297" t="inlineStr">
        <is>
          <t>Bernard Ashley Drive, Charlton</t>
        </is>
      </c>
      <c r="I297" t="inlineStr">
        <is>
          <t>A well maintained and spacious two double bedroom ground floor apartment in this well managed gated development offering unallocated off street parking.</t>
        </is>
      </c>
      <c r="J297" t="inlineStr">
        <is>
          <t>https://www.rightmove.co.uk/properties/167187203#/?channel=RES_LET</t>
        </is>
      </c>
      <c r="K297" t="inlineStr">
        <is>
          <t>/property-to-rent/contactBranch.html?propertyId=167187203</t>
        </is>
      </c>
      <c r="L297" t="inlineStr">
        <is>
          <t>Dexters, Blackheath</t>
        </is>
      </c>
      <c r="M297" t="n">
        <v>118042</v>
      </c>
      <c r="N297" t="inlineStr">
        <is>
          <t>Reduced on 04/10/2025</t>
        </is>
      </c>
      <c r="O297" t="inlineStr">
        <is>
          <t>2025-09-19T12:00:31Z</t>
        </is>
      </c>
      <c r="R297" t="inlineStr">
        <is>
          <t>2025-10-16T17:42:30.202878</t>
        </is>
      </c>
      <c r="S297" t="inlineStr">
        <is>
          <t>{'let available date': 'Ask agent', 'deposit': '£1,903', 'min. tenancy': 'Ask agent', 'let type': 'Long term', 'furnish type': 'Part furnished', 'council tax': 'Ask agent'}</t>
        </is>
      </c>
      <c r="V297" t="b">
        <v>1</v>
      </c>
      <c r="X297" t="n">
        <v>15.82</v>
      </c>
      <c r="Y297" t="n">
        <v>44.1</v>
      </c>
      <c r="Z297">
        <f>IF(AND(ISNUMBER(B297), ISNUMBER(MIN(B$2:B$486)), ISNUMBER(MAX(B$2:B$486))), IF(MAX(B$2:B$486)=MIN(B$2:B$486), 50, ROUND((MAX(B$2:B$486)-B297)/(MAX(B$2:B$486)-MIN(B$2:B$486))*100, 2)), "")</f>
        <v/>
      </c>
      <c r="AA297">
        <f>IF(AND(ISNUMBER(X297), ISNUMBER(MIN(X$2:X$486)), ISNUMBER(MAX(X$2:X$486))), IF(MAX(X$2:X$486)=MIN(X$2:X$486), 50, ROUND((MAX(X$2:X$486)-X297)/(MAX(X$2:X$486)-MIN(X$2:X$486))*100, 2)), "")</f>
        <v/>
      </c>
      <c r="AB297">
        <f>IF(AND(ISNUMBER(U297), ISNUMBER(MIN(U$2:U$486)), ISNUMBER(MAX(U$2:U$486))), IF(MAX(U$2:U$486)=MIN(U$2:U$486), 50, ROUND((U297-MIN(U$2:U$486))/(MAX(U$2:U$486)-MIN(U$2:U$486))*100, 2)), "")</f>
        <v/>
      </c>
      <c r="AC297">
        <f>IF(AND(ISNUMBER(Z297), ISNUMBER(AA297), ISNUMBER(AB297)), ROUND((Z297+AA297+AB297)/3, 2), "")</f>
        <v/>
      </c>
    </row>
    <row r="298">
      <c r="A298" t="n">
        <v>168199436</v>
      </c>
      <c r="B298" t="n">
        <v>1750</v>
      </c>
      <c r="C298" t="inlineStr">
        <is>
          <t>£1,750 pcm</t>
        </is>
      </c>
      <c r="D298" t="inlineStr">
        <is>
          <t>monthly</t>
        </is>
      </c>
      <c r="E298" t="inlineStr">
        <is>
          <t>Apartment</t>
        </is>
      </c>
      <c r="F298" t="n">
        <v>2</v>
      </c>
      <c r="G298" t="n">
        <v>1</v>
      </c>
      <c r="H298" t="inlineStr">
        <is>
          <t>Palmerston Road, London, N22</t>
        </is>
      </c>
      <c r="I298" t="inlineStr">
        <is>
          <t>A two double bedroom ground floor period conversion, with a private garden, ideally situated on a quiet residential street in the heart of Bowes Park, N22.</t>
        </is>
      </c>
      <c r="J298" t="inlineStr">
        <is>
          <t>https://www.rightmove.co.uk/properties/168199436#/?channel=RES_LET</t>
        </is>
      </c>
      <c r="K298" t="inlineStr">
        <is>
          <t>/property-to-rent/contactBranch.html?propertyId=168199436</t>
        </is>
      </c>
      <c r="L298" t="inlineStr">
        <is>
          <t>Martyn Gerrard, Muswell Hill</t>
        </is>
      </c>
      <c r="M298" t="n">
        <v>13102</v>
      </c>
      <c r="N298" t="inlineStr">
        <is>
          <t>Added on 04/10/2025</t>
        </is>
      </c>
      <c r="O298" t="inlineStr">
        <is>
          <t>2025-10-15T12:45:25Z</t>
        </is>
      </c>
      <c r="Q298" t="inlineStr">
        <is>
          <t>N22</t>
        </is>
      </c>
      <c r="R298" t="inlineStr">
        <is>
          <t>2025-10-16T17:42:30.202888</t>
        </is>
      </c>
      <c r="S298" t="inlineStr">
        <is>
          <t>{'let available date': '05/11/2025', 'deposit': '£2,019', 'min. tenancy': '12 months', 'let type': 'Long term', 'furnish type': 'Unfurnished', 'council tax': 'Ask agent'}</t>
        </is>
      </c>
      <c r="T298" t="n">
        <v>689</v>
      </c>
      <c r="U298" t="n">
        <v>64</v>
      </c>
      <c r="V298" t="b">
        <v>1</v>
      </c>
      <c r="X298" t="n">
        <v>12.67</v>
      </c>
      <c r="Y298" t="n">
        <v>48.1</v>
      </c>
      <c r="Z298">
        <f>IF(AND(ISNUMBER(B298), ISNUMBER(MIN(B$2:B$486)), ISNUMBER(MAX(B$2:B$486))), IF(MAX(B$2:B$486)=MIN(B$2:B$486), 50, ROUND((MAX(B$2:B$486)-B298)/(MAX(B$2:B$486)-MIN(B$2:B$486))*100, 2)), "")</f>
        <v/>
      </c>
      <c r="AA298">
        <f>IF(AND(ISNUMBER(X298), ISNUMBER(MIN(X$2:X$486)), ISNUMBER(MAX(X$2:X$486))), IF(MAX(X$2:X$486)=MIN(X$2:X$486), 50, ROUND((MAX(X$2:X$486)-X298)/(MAX(X$2:X$486)-MIN(X$2:X$486))*100, 2)), "")</f>
        <v/>
      </c>
      <c r="AB298">
        <f>IF(AND(ISNUMBER(U298), ISNUMBER(MIN(U$2:U$486)), ISNUMBER(MAX(U$2:U$486))), IF(MAX(U$2:U$486)=MIN(U$2:U$486), 50, ROUND((U298-MIN(U$2:U$486))/(MAX(U$2:U$486)-MIN(U$2:U$486))*100, 2)), "")</f>
        <v/>
      </c>
      <c r="AC298">
        <f>IF(AND(ISNUMBER(Z298), ISNUMBER(AA298), ISNUMBER(AB298)), ROUND((Z298+AA298+AB298)/3, 2), "")</f>
        <v/>
      </c>
    </row>
    <row r="299">
      <c r="A299" t="n">
        <v>167811914</v>
      </c>
      <c r="B299" t="n">
        <v>1700</v>
      </c>
      <c r="C299" t="inlineStr">
        <is>
          <t>£1,700 pcm</t>
        </is>
      </c>
      <c r="D299" t="inlineStr">
        <is>
          <t>monthly</t>
        </is>
      </c>
      <c r="E299" t="inlineStr">
        <is>
          <t>Ground Flat</t>
        </is>
      </c>
      <c r="F299" t="n">
        <v>2</v>
      </c>
      <c r="G299" t="n">
        <v>1</v>
      </c>
      <c r="H299" t="inlineStr">
        <is>
          <t>18 Harrison Court 10 Myers Lane, Off Mercury Road</t>
        </is>
      </c>
      <c r="I299" t="inlineStr">
        <is>
          <t>base rent: £1700, deposit: £1961.54, number of bedrooms: 2, size: 533 sq ft, apartment type: ground floor, pet restrictions, please enquire, heating type: electric, fully integrated kitchen, open plan kitchen, washer dryer, number of bathrooms: 1, refurb…</t>
        </is>
      </c>
      <c r="J299" t="inlineStr">
        <is>
          <t>https://www.rightmove.co.uk/properties/167811914#/?channel=RES_LET</t>
        </is>
      </c>
      <c r="K299" t="inlineStr">
        <is>
          <t>/property-to-rent/contactBranch.html?propertyId=167811914</t>
        </is>
      </c>
      <c r="L299" t="inlineStr">
        <is>
          <t>Akelius Residential Ltd, London</t>
        </is>
      </c>
      <c r="M299" t="n">
        <v>102505</v>
      </c>
      <c r="N299" t="inlineStr">
        <is>
          <t>Added on 04/10/2025</t>
        </is>
      </c>
      <c r="O299" t="inlineStr">
        <is>
          <t>2025-10-04T14:27:46Z</t>
        </is>
      </c>
      <c r="R299" t="inlineStr">
        <is>
          <t>2025-10-16T17:42:30.202891</t>
        </is>
      </c>
      <c r="S299" t="inlineStr">
        <is>
          <t>{'let available date': 'Now', 'deposit': '£1,961', 'min. tenancy': 'Ask agent', 'let type': 'Long term', 'furnish type': 'Ask agent', 'council tax': 'Ask agent'}</t>
        </is>
      </c>
      <c r="T299" t="n">
        <v>533</v>
      </c>
      <c r="U299" t="n">
        <v>50</v>
      </c>
      <c r="V299" t="b">
        <v>1</v>
      </c>
      <c r="X299" t="n">
        <v>8.710000000000001</v>
      </c>
      <c r="Y299" t="n">
        <v>36.5</v>
      </c>
      <c r="Z299">
        <f>IF(AND(ISNUMBER(B299), ISNUMBER(MIN(B$2:B$486)), ISNUMBER(MAX(B$2:B$486))), IF(MAX(B$2:B$486)=MIN(B$2:B$486), 50, ROUND((MAX(B$2:B$486)-B299)/(MAX(B$2:B$486)-MIN(B$2:B$486))*100, 2)), "")</f>
        <v/>
      </c>
      <c r="AA299">
        <f>IF(AND(ISNUMBER(X299), ISNUMBER(MIN(X$2:X$486)), ISNUMBER(MAX(X$2:X$486))), IF(MAX(X$2:X$486)=MIN(X$2:X$486), 50, ROUND((MAX(X$2:X$486)-X299)/(MAX(X$2:X$486)-MIN(X$2:X$486))*100, 2)), "")</f>
        <v/>
      </c>
      <c r="AB299">
        <f>IF(AND(ISNUMBER(U299), ISNUMBER(MIN(U$2:U$486)), ISNUMBER(MAX(U$2:U$486))), IF(MAX(U$2:U$486)=MIN(U$2:U$486), 50, ROUND((U299-MIN(U$2:U$486))/(MAX(U$2:U$486)-MIN(U$2:U$486))*100, 2)), "")</f>
        <v/>
      </c>
      <c r="AC299">
        <f>IF(AND(ISNUMBER(Z299), ISNUMBER(AA299), ISNUMBER(AB299)), ROUND((Z299+AA299+AB299)/3, 2), "")</f>
        <v/>
      </c>
    </row>
    <row r="300">
      <c r="A300" t="n">
        <v>167810693</v>
      </c>
      <c r="B300" t="n">
        <v>1700</v>
      </c>
      <c r="C300" t="inlineStr">
        <is>
          <t>£1,700 pcm</t>
        </is>
      </c>
      <c r="D300" t="inlineStr">
        <is>
          <t>monthly</t>
        </is>
      </c>
      <c r="E300" t="inlineStr">
        <is>
          <t>Flat</t>
        </is>
      </c>
      <c r="F300" t="n">
        <v>2</v>
      </c>
      <c r="G300" t="n">
        <v>1</v>
      </c>
      <c r="H300" t="inlineStr">
        <is>
          <t>Mount Pleasant Road, Tottenham</t>
        </is>
      </c>
      <c r="I300" t="inlineStr">
        <is>
          <t>This well presented 2-bedroom ground floor flat is situated on the sought after Mount Pleasant Road N17, offering a fantastic blend of comfort, convenience, and outdoor space. The property features two well proportioned bedrooms, a bright and airy living area, a fully fitted kitchen, and...</t>
        </is>
      </c>
      <c r="J300" t="inlineStr">
        <is>
          <t>https://www.rightmove.co.uk/properties/167810693#/?channel=RES_LET</t>
        </is>
      </c>
      <c r="K300" t="inlineStr">
        <is>
          <t>/property-to-rent/contactBranch.html?propertyId=167810693</t>
        </is>
      </c>
      <c r="L300" t="inlineStr">
        <is>
          <t>Cousins Estate Agents, South Tottenham</t>
        </is>
      </c>
      <c r="M300" t="n">
        <v>6608</v>
      </c>
      <c r="N300" t="inlineStr">
        <is>
          <t>Added on 04/10/2025</t>
        </is>
      </c>
      <c r="O300" t="inlineStr">
        <is>
          <t>2025-10-04T13:30:25Z</t>
        </is>
      </c>
      <c r="R300" t="inlineStr">
        <is>
          <t>2025-10-16T17:42:30.202894</t>
        </is>
      </c>
      <c r="S300" t="inlineStr">
        <is>
          <t>{'let available date': 'Ask agent', 'deposit': 'Ask agent', 'min. tenancy': 'Ask agent', 'let type': 'Long term', 'furnish type': 'Ask agent', 'council tax': 'Ask agent'}</t>
        </is>
      </c>
      <c r="T300" t="n">
        <v>485</v>
      </c>
      <c r="U300" t="n">
        <v>45</v>
      </c>
      <c r="V300" t="b">
        <v>1</v>
      </c>
      <c r="X300" t="n">
        <v>13.17</v>
      </c>
      <c r="Y300" t="n">
        <v>47.6</v>
      </c>
      <c r="Z300">
        <f>IF(AND(ISNUMBER(B300), ISNUMBER(MIN(B$2:B$486)), ISNUMBER(MAX(B$2:B$486))), IF(MAX(B$2:B$486)=MIN(B$2:B$486), 50, ROUND((MAX(B$2:B$486)-B300)/(MAX(B$2:B$486)-MIN(B$2:B$486))*100, 2)), "")</f>
        <v/>
      </c>
      <c r="AA300">
        <f>IF(AND(ISNUMBER(X300), ISNUMBER(MIN(X$2:X$486)), ISNUMBER(MAX(X$2:X$486))), IF(MAX(X$2:X$486)=MIN(X$2:X$486), 50, ROUND((MAX(X$2:X$486)-X300)/(MAX(X$2:X$486)-MIN(X$2:X$486))*100, 2)), "")</f>
        <v/>
      </c>
      <c r="AB300">
        <f>IF(AND(ISNUMBER(U300), ISNUMBER(MIN(U$2:U$486)), ISNUMBER(MAX(U$2:U$486))), IF(MAX(U$2:U$486)=MIN(U$2:U$486), 50, ROUND((U300-MIN(U$2:U$486))/(MAX(U$2:U$486)-MIN(U$2:U$486))*100, 2)), "")</f>
        <v/>
      </c>
      <c r="AC300">
        <f>IF(AND(ISNUMBER(Z300), ISNUMBER(AA300), ISNUMBER(AB300)), ROUND((Z300+AA300+AB300)/3, 2), "")</f>
        <v/>
      </c>
    </row>
    <row r="301">
      <c r="A301" t="n">
        <v>163160177</v>
      </c>
      <c r="B301" t="n">
        <v>1650</v>
      </c>
      <c r="C301" t="inlineStr">
        <is>
          <t>£1,650 pcm</t>
        </is>
      </c>
      <c r="D301" t="inlineStr">
        <is>
          <t>monthly</t>
        </is>
      </c>
      <c r="E301" t="inlineStr">
        <is>
          <t>Flat</t>
        </is>
      </c>
      <c r="F301" t="n">
        <v>2</v>
      </c>
      <c r="G301" t="n">
        <v>1</v>
      </c>
      <c r="H301" t="inlineStr">
        <is>
          <t>Selhurst Road, London, SE25</t>
        </is>
      </c>
      <c r="I301" t="inlineStr">
        <is>
          <t xml:space="preserve">Next Home Ltd are pleased to offer this beautifully presented 2 bedroom apartment. </t>
        </is>
      </c>
      <c r="J301" t="inlineStr">
        <is>
          <t>https://www.rightmove.co.uk/properties/163160177#/?channel=RES_LET</t>
        </is>
      </c>
      <c r="K301" t="inlineStr">
        <is>
          <t>/property-to-rent/contactBranch.html?propertyId=163160177</t>
        </is>
      </c>
      <c r="L301" t="inlineStr">
        <is>
          <t>Next Home Ltd, Leyton</t>
        </is>
      </c>
      <c r="M301" t="n">
        <v>38072</v>
      </c>
      <c r="N301" t="inlineStr">
        <is>
          <t>Added on 04/10/2025</t>
        </is>
      </c>
      <c r="O301" t="inlineStr">
        <is>
          <t>2025-06-11T14:07:44Z</t>
        </is>
      </c>
      <c r="Q301" t="inlineStr">
        <is>
          <t>SE25</t>
        </is>
      </c>
      <c r="R301" t="inlineStr">
        <is>
          <t>2025-10-16T17:42:30.202897</t>
        </is>
      </c>
      <c r="S301" t="inlineStr">
        <is>
          <t>{'let available date': 'Ask agent', 'deposit': '£1,650', 'min. tenancy': 'Ask agent', 'let type': 'Long term', 'furnish type': 'Furnished or unfurnished, landlord is flexible', 'council tax': 'Ask agent'}</t>
        </is>
      </c>
      <c r="V301" t="b">
        <v>1</v>
      </c>
      <c r="X301" t="n">
        <v>16.69</v>
      </c>
      <c r="Y301" t="n">
        <v>52.9</v>
      </c>
      <c r="Z301">
        <f>IF(AND(ISNUMBER(B301), ISNUMBER(MIN(B$2:B$486)), ISNUMBER(MAX(B$2:B$486))), IF(MAX(B$2:B$486)=MIN(B$2:B$486), 50, ROUND((MAX(B$2:B$486)-B301)/(MAX(B$2:B$486)-MIN(B$2:B$486))*100, 2)), "")</f>
        <v/>
      </c>
      <c r="AA301">
        <f>IF(AND(ISNUMBER(X301), ISNUMBER(MIN(X$2:X$486)), ISNUMBER(MAX(X$2:X$486))), IF(MAX(X$2:X$486)=MIN(X$2:X$486), 50, ROUND((MAX(X$2:X$486)-X301)/(MAX(X$2:X$486)-MIN(X$2:X$486))*100, 2)), "")</f>
        <v/>
      </c>
      <c r="AB301">
        <f>IF(AND(ISNUMBER(U301), ISNUMBER(MIN(U$2:U$486)), ISNUMBER(MAX(U$2:U$486))), IF(MAX(U$2:U$486)=MIN(U$2:U$486), 50, ROUND((U301-MIN(U$2:U$486))/(MAX(U$2:U$486)-MIN(U$2:U$486))*100, 2)), "")</f>
        <v/>
      </c>
      <c r="AC301">
        <f>IF(AND(ISNUMBER(Z301), ISNUMBER(AA301), ISNUMBER(AB301)), ROUND((Z301+AA301+AB301)/3, 2), "")</f>
        <v/>
      </c>
    </row>
    <row r="302">
      <c r="A302" t="n">
        <v>167809097</v>
      </c>
      <c r="B302" t="n">
        <v>1700</v>
      </c>
      <c r="C302" t="inlineStr">
        <is>
          <t>£1,700 pcm</t>
        </is>
      </c>
      <c r="D302" t="inlineStr">
        <is>
          <t>monthly</t>
        </is>
      </c>
      <c r="E302" t="inlineStr">
        <is>
          <t>Flat</t>
        </is>
      </c>
      <c r="F302" t="n">
        <v>2</v>
      </c>
      <c r="G302" t="n">
        <v>1</v>
      </c>
      <c r="H302" t="inlineStr">
        <is>
          <t>Reed Road, Tottenham</t>
        </is>
      </c>
      <c r="I302" t="inlineStr">
        <is>
          <t>Kings Group are delighted to offer for rent this two bedroom part furnished flat in Tottenham. This first floor property comprises two double bedrooms, kitchen with appliances, separate spacious living room, a three piece bathroom and a balcony. Located just a short walk to Tottenham High Road an...</t>
        </is>
      </c>
      <c r="J302" t="inlineStr">
        <is>
          <t>https://www.rightmove.co.uk/properties/167809097#/?channel=RES_LET</t>
        </is>
      </c>
      <c r="K302" t="inlineStr">
        <is>
          <t>/property-to-rent/contactBranch.html?propertyId=167809097</t>
        </is>
      </c>
      <c r="L302" t="inlineStr">
        <is>
          <t>Kings Group, Tottenham - Lettings</t>
        </is>
      </c>
      <c r="M302" t="n">
        <v>12376</v>
      </c>
      <c r="N302" t="inlineStr">
        <is>
          <t>Added on 04/10/2025</t>
        </is>
      </c>
      <c r="O302" t="inlineStr">
        <is>
          <t>2025-10-04T12:41:44Z</t>
        </is>
      </c>
      <c r="R302" t="inlineStr">
        <is>
          <t>2025-10-16T17:42:30.202900</t>
        </is>
      </c>
      <c r="S302" t="inlineStr">
        <is>
          <t>{'let available date': 'Now', 'deposit': '£1,700', 'min. tenancy': 'Ask agent', 'let type': 'Long term', 'furnish type': 'Part furnished', 'council tax': 'Ask agent'}</t>
        </is>
      </c>
      <c r="V302" t="b">
        <v>1</v>
      </c>
      <c r="X302" t="n">
        <v>12.85</v>
      </c>
      <c r="Y302" t="n">
        <v>47.8</v>
      </c>
      <c r="Z302">
        <f>IF(AND(ISNUMBER(B302), ISNUMBER(MIN(B$2:B$486)), ISNUMBER(MAX(B$2:B$486))), IF(MAX(B$2:B$486)=MIN(B$2:B$486), 50, ROUND((MAX(B$2:B$486)-B302)/(MAX(B$2:B$486)-MIN(B$2:B$486))*100, 2)), "")</f>
        <v/>
      </c>
      <c r="AA302">
        <f>IF(AND(ISNUMBER(X302), ISNUMBER(MIN(X$2:X$486)), ISNUMBER(MAX(X$2:X$486))), IF(MAX(X$2:X$486)=MIN(X$2:X$486), 50, ROUND((MAX(X$2:X$486)-X302)/(MAX(X$2:X$486)-MIN(X$2:X$486))*100, 2)), "")</f>
        <v/>
      </c>
      <c r="AB302">
        <f>IF(AND(ISNUMBER(U302), ISNUMBER(MIN(U$2:U$486)), ISNUMBER(MAX(U$2:U$486))), IF(MAX(U$2:U$486)=MIN(U$2:U$486), 50, ROUND((U302-MIN(U$2:U$486))/(MAX(U$2:U$486)-MIN(U$2:U$486))*100, 2)), "")</f>
        <v/>
      </c>
      <c r="AC302">
        <f>IF(AND(ISNUMBER(Z302), ISNUMBER(AA302), ISNUMBER(AB302)), ROUND((Z302+AA302+AB302)/3, 2), "")</f>
        <v/>
      </c>
    </row>
    <row r="303">
      <c r="A303" t="n">
        <v>166716554</v>
      </c>
      <c r="B303" t="n">
        <v>1650</v>
      </c>
      <c r="C303" t="inlineStr">
        <is>
          <t>£1,650 pcm</t>
        </is>
      </c>
      <c r="D303" t="inlineStr">
        <is>
          <t>monthly</t>
        </is>
      </c>
      <c r="E303" t="inlineStr">
        <is>
          <t>Flat</t>
        </is>
      </c>
      <c r="F303" t="n">
        <v>2</v>
      </c>
      <c r="G303" t="n">
        <v>1</v>
      </c>
      <c r="H303" t="inlineStr">
        <is>
          <t>Town Road, Edmonton, N9</t>
        </is>
      </c>
      <c r="I303" t="inlineStr">
        <is>
          <t xml:space="preserve">A 2 bedroom 1st floor flat which also features a bright and airy reception room, a functional kitchen, and a tidy bathroom. Available now </t>
        </is>
      </c>
      <c r="J303" t="inlineStr">
        <is>
          <t>https://www.rightmove.co.uk/properties/166716554#/?channel=RES_LET</t>
        </is>
      </c>
      <c r="K303" t="inlineStr">
        <is>
          <t>/property-to-rent/contactBranch.html?propertyId=166716554</t>
        </is>
      </c>
      <c r="L303" t="inlineStr">
        <is>
          <t>Castles Estate Agents, Edmonton - Lettings</t>
        </is>
      </c>
      <c r="M303" t="n">
        <v>125137</v>
      </c>
      <c r="N303" t="inlineStr">
        <is>
          <t>Reduced on 04/10/2025</t>
        </is>
      </c>
      <c r="O303" t="inlineStr">
        <is>
          <t>2025-09-08T12:25:04Z</t>
        </is>
      </c>
      <c r="Q303" t="inlineStr">
        <is>
          <t>N9</t>
        </is>
      </c>
      <c r="R303" t="inlineStr">
        <is>
          <t>2025-10-16T17:42:30.202902</t>
        </is>
      </c>
      <c r="S303" t="inlineStr">
        <is>
          <t>{'let available date': 'Now', 'deposit': '£1,961', 'min. tenancy': 'Ask agent', 'let type': 'Long term', 'furnish type': 'Unfurnished', 'council tax': 'Ask agent'}</t>
        </is>
      </c>
      <c r="V303" t="b">
        <v>1</v>
      </c>
      <c r="X303" t="n">
        <v>18.31</v>
      </c>
      <c r="Y303" t="n">
        <v>54.2</v>
      </c>
      <c r="Z303">
        <f>IF(AND(ISNUMBER(B303), ISNUMBER(MIN(B$2:B$486)), ISNUMBER(MAX(B$2:B$486))), IF(MAX(B$2:B$486)=MIN(B$2:B$486), 50, ROUND((MAX(B$2:B$486)-B303)/(MAX(B$2:B$486)-MIN(B$2:B$486))*100, 2)), "")</f>
        <v/>
      </c>
      <c r="AA303">
        <f>IF(AND(ISNUMBER(X303), ISNUMBER(MIN(X$2:X$486)), ISNUMBER(MAX(X$2:X$486))), IF(MAX(X$2:X$486)=MIN(X$2:X$486), 50, ROUND((MAX(X$2:X$486)-X303)/(MAX(X$2:X$486)-MIN(X$2:X$486))*100, 2)), "")</f>
        <v/>
      </c>
      <c r="AB303">
        <f>IF(AND(ISNUMBER(U303), ISNUMBER(MIN(U$2:U$486)), ISNUMBER(MAX(U$2:U$486))), IF(MAX(U$2:U$486)=MIN(U$2:U$486), 50, ROUND((U303-MIN(U$2:U$486))/(MAX(U$2:U$486)-MIN(U$2:U$486))*100, 2)), "")</f>
        <v/>
      </c>
      <c r="AC303">
        <f>IF(AND(ISNUMBER(Z303), ISNUMBER(AA303), ISNUMBER(AB303)), ROUND((Z303+AA303+AB303)/3, 2), "")</f>
        <v/>
      </c>
    </row>
    <row r="304">
      <c r="A304" t="n">
        <v>167436290</v>
      </c>
      <c r="B304" t="n">
        <v>1650</v>
      </c>
      <c r="C304" t="inlineStr">
        <is>
          <t>£1,650 pcm</t>
        </is>
      </c>
      <c r="D304" t="inlineStr">
        <is>
          <t>monthly</t>
        </is>
      </c>
      <c r="E304" t="inlineStr">
        <is>
          <t>Flat</t>
        </is>
      </c>
      <c r="F304" t="n">
        <v>2</v>
      </c>
      <c r="G304" t="n">
        <v>1</v>
      </c>
      <c r="H304" t="inlineStr">
        <is>
          <t>2 Bedroom Flat To Let - Forest Road, Walthamstow, E17 - £1700 PCM</t>
        </is>
      </c>
      <c r="I304" t="inlineStr">
        <is>
          <t>Nestled in the vibrant area of Walthamstow, this charming two-bedroom flat on Forest Road is now available to let for £1,700 per calendar month. This property offers a delightful living space, perfect for individuals or small families seeking comfort and convenience in a bustling neighbourhood.</t>
        </is>
      </c>
      <c r="J304" t="inlineStr">
        <is>
          <t>https://www.rightmove.co.uk/properties/167436290#/?channel=RES_LET</t>
        </is>
      </c>
      <c r="K304" t="inlineStr">
        <is>
          <t>/property-to-rent/contactBranch.html?propertyId=167436290</t>
        </is>
      </c>
      <c r="L304" t="inlineStr">
        <is>
          <t>Completion Sales &amp; Lettings Ltd, London</t>
        </is>
      </c>
      <c r="M304" t="n">
        <v>12604</v>
      </c>
      <c r="N304" t="inlineStr">
        <is>
          <t>Reduced on 04/10/2025</t>
        </is>
      </c>
      <c r="O304" t="inlineStr">
        <is>
          <t>2025-09-25T17:02:03Z</t>
        </is>
      </c>
      <c r="Q304" t="inlineStr">
        <is>
          <t>E17</t>
        </is>
      </c>
      <c r="R304" t="inlineStr">
        <is>
          <t>2025-10-16T17:42:30.202905</t>
        </is>
      </c>
      <c r="S304" t="inlineStr">
        <is>
          <t>{'let available date': 'Now', 'deposit': '£1,903', 'min. tenancy': 'Ask agent', 'let type': 'Long term', 'furnish type': 'Unfurnished', 'council tax': 'Ask agent'}</t>
        </is>
      </c>
      <c r="V304" t="b">
        <v>1</v>
      </c>
      <c r="X304" t="n">
        <v>14.24</v>
      </c>
      <c r="Y304" t="n">
        <v>55.8</v>
      </c>
      <c r="Z304">
        <f>IF(AND(ISNUMBER(B304), ISNUMBER(MIN(B$2:B$486)), ISNUMBER(MAX(B$2:B$486))), IF(MAX(B$2:B$486)=MIN(B$2:B$486), 50, ROUND((MAX(B$2:B$486)-B304)/(MAX(B$2:B$486)-MIN(B$2:B$486))*100, 2)), "")</f>
        <v/>
      </c>
      <c r="AA304">
        <f>IF(AND(ISNUMBER(X304), ISNUMBER(MIN(X$2:X$486)), ISNUMBER(MAX(X$2:X$486))), IF(MAX(X$2:X$486)=MIN(X$2:X$486), 50, ROUND((MAX(X$2:X$486)-X304)/(MAX(X$2:X$486)-MIN(X$2:X$486))*100, 2)), "")</f>
        <v/>
      </c>
      <c r="AB304">
        <f>IF(AND(ISNUMBER(U304), ISNUMBER(MIN(U$2:U$486)), ISNUMBER(MAX(U$2:U$486))), IF(MAX(U$2:U$486)=MIN(U$2:U$486), 50, ROUND((U304-MIN(U$2:U$486))/(MAX(U$2:U$486)-MIN(U$2:U$486))*100, 2)), "")</f>
        <v/>
      </c>
      <c r="AC304">
        <f>IF(AND(ISNUMBER(Z304), ISNUMBER(AA304), ISNUMBER(AB304)), ROUND((Z304+AA304+AB304)/3, 2), "")</f>
        <v/>
      </c>
    </row>
    <row r="305">
      <c r="A305" t="n">
        <v>163554560</v>
      </c>
      <c r="B305" t="n">
        <v>1600</v>
      </c>
      <c r="C305" t="inlineStr">
        <is>
          <t>£1,600 pcm</t>
        </is>
      </c>
      <c r="D305" t="inlineStr">
        <is>
          <t>monthly</t>
        </is>
      </c>
      <c r="E305" t="inlineStr">
        <is>
          <t>Maisonette</t>
        </is>
      </c>
      <c r="F305" t="n">
        <v>2</v>
      </c>
      <c r="G305" t="n">
        <v>1</v>
      </c>
      <c r="H305" t="inlineStr">
        <is>
          <t>Lea Road, ENFIELD, Middlesex, EN2</t>
        </is>
      </c>
      <c r="I305" t="inlineStr">
        <is>
          <t>A TWO bedroom FIRST FLOOR MAISONETTE located just OFF LANCASTER ROAD and its array of shopping facilities, local bus routes and easy reach of GORDON HILL Train Station. Benefits include 15ft SITTING/DINING ROOM, BALCONY, DOUBLE GLAZING, GAS CENTRAL HEATING.</t>
        </is>
      </c>
      <c r="J305" t="inlineStr">
        <is>
          <t>https://www.rightmove.co.uk/properties/163554560#/?channel=RES_LET</t>
        </is>
      </c>
      <c r="K305" t="inlineStr">
        <is>
          <t>/property-to-rent/contactBranch.html?propertyId=163554560</t>
        </is>
      </c>
      <c r="L305" t="inlineStr">
        <is>
          <t>Equity Estate Agents, Enfield - Lettings</t>
        </is>
      </c>
      <c r="M305" t="n">
        <v>35516</v>
      </c>
      <c r="N305" t="inlineStr">
        <is>
          <t>Reduced on 03/10/2025</t>
        </is>
      </c>
      <c r="O305" t="inlineStr">
        <is>
          <t>2025-06-19T18:04:30Z</t>
        </is>
      </c>
      <c r="Q305" t="inlineStr">
        <is>
          <t>EN2</t>
        </is>
      </c>
      <c r="R305" t="inlineStr">
        <is>
          <t>2025-10-16T17:42:30.202909</t>
        </is>
      </c>
      <c r="S305" t="inlineStr">
        <is>
          <t>{'let available date': 'Ask agent', 'deposit': '£1,700', 'min. tenancy': '12 months', 'let type': 'Long term', 'furnish type': 'Unfurnished', 'council tax': 'Ask agent'}</t>
        </is>
      </c>
      <c r="V305" t="b">
        <v>1</v>
      </c>
      <c r="X305" t="n">
        <v>23.71</v>
      </c>
      <c r="Y305" t="n">
        <v>62</v>
      </c>
      <c r="Z305">
        <f>IF(AND(ISNUMBER(B305), ISNUMBER(MIN(B$2:B$486)), ISNUMBER(MAX(B$2:B$486))), IF(MAX(B$2:B$486)=MIN(B$2:B$486), 50, ROUND((MAX(B$2:B$486)-B305)/(MAX(B$2:B$486)-MIN(B$2:B$486))*100, 2)), "")</f>
        <v/>
      </c>
      <c r="AA305">
        <f>IF(AND(ISNUMBER(X305), ISNUMBER(MIN(X$2:X$486)), ISNUMBER(MAX(X$2:X$486))), IF(MAX(X$2:X$486)=MIN(X$2:X$486), 50, ROUND((MAX(X$2:X$486)-X305)/(MAX(X$2:X$486)-MIN(X$2:X$486))*100, 2)), "")</f>
        <v/>
      </c>
      <c r="AB305">
        <f>IF(AND(ISNUMBER(U305), ISNUMBER(MIN(U$2:U$486)), ISNUMBER(MAX(U$2:U$486))), IF(MAX(U$2:U$486)=MIN(U$2:U$486), 50, ROUND((U305-MIN(U$2:U$486))/(MAX(U$2:U$486)-MIN(U$2:U$486))*100, 2)), "")</f>
        <v/>
      </c>
      <c r="AC305">
        <f>IF(AND(ISNUMBER(Z305), ISNUMBER(AA305), ISNUMBER(AB305)), ROUND((Z305+AA305+AB305)/3, 2), "")</f>
        <v/>
      </c>
    </row>
    <row r="306">
      <c r="A306" t="n">
        <v>167790395</v>
      </c>
      <c r="B306" t="n">
        <v>1600</v>
      </c>
      <c r="C306" t="inlineStr">
        <is>
          <t>£1,600 pcm</t>
        </is>
      </c>
      <c r="D306" t="inlineStr">
        <is>
          <t>monthly</t>
        </is>
      </c>
      <c r="E306" t="inlineStr">
        <is>
          <t>Apartment</t>
        </is>
      </c>
      <c r="F306" t="n">
        <v>2</v>
      </c>
      <c r="G306" t="n">
        <v>1</v>
      </c>
      <c r="H306" t="inlineStr">
        <is>
          <t>Station Road, London, NW7</t>
        </is>
      </c>
      <c r="I306" t="inlineStr">
        <is>
          <t>Deposit Free Option Available!!!Oyster properties are proud to present this 2 bedroom Apartment within easy reach of local transport facilities including Mill Hill Broadway, Burnt Oak Tube Station and and walking distance to lots of shop, and 540 yards to Mathilda Marks-Kennedy Jewish Primary Sch...</t>
        </is>
      </c>
      <c r="J306" t="inlineStr">
        <is>
          <t>https://www.rightmove.co.uk/properties/167790395#/?channel=RES_LET</t>
        </is>
      </c>
      <c r="K306" t="inlineStr">
        <is>
          <t>/property-to-rent/contactBranch.html?propertyId=167790395</t>
        </is>
      </c>
      <c r="L306" t="inlineStr">
        <is>
          <t>Oyster Properties, Stanmore</t>
        </is>
      </c>
      <c r="M306" t="n">
        <v>19059</v>
      </c>
      <c r="N306" t="inlineStr">
        <is>
          <t>Added on 03/10/2025</t>
        </is>
      </c>
      <c r="O306" t="inlineStr">
        <is>
          <t>2025-10-03T17:32:37Z</t>
        </is>
      </c>
      <c r="Q306" t="inlineStr">
        <is>
          <t>NW7</t>
        </is>
      </c>
      <c r="R306" t="inlineStr">
        <is>
          <t>2025-10-16T17:42:30.202911</t>
        </is>
      </c>
      <c r="S306" t="inlineStr">
        <is>
          <t>{'let available date': 'Now', 'deposit': '£1,846', 'min. tenancy': '12 months', 'let type': 'Long term', 'furnish type': 'Part furnished', 'council tax': 'Ask agent'}</t>
        </is>
      </c>
      <c r="V306" t="b">
        <v>1</v>
      </c>
      <c r="X306" t="n">
        <v>17.56</v>
      </c>
      <c r="Y306" t="n">
        <v>49.1</v>
      </c>
      <c r="Z306">
        <f>IF(AND(ISNUMBER(B306), ISNUMBER(MIN(B$2:B$486)), ISNUMBER(MAX(B$2:B$486))), IF(MAX(B$2:B$486)=MIN(B$2:B$486), 50, ROUND((MAX(B$2:B$486)-B306)/(MAX(B$2:B$486)-MIN(B$2:B$486))*100, 2)), "")</f>
        <v/>
      </c>
      <c r="AA306">
        <f>IF(AND(ISNUMBER(X306), ISNUMBER(MIN(X$2:X$486)), ISNUMBER(MAX(X$2:X$486))), IF(MAX(X$2:X$486)=MIN(X$2:X$486), 50, ROUND((MAX(X$2:X$486)-X306)/(MAX(X$2:X$486)-MIN(X$2:X$486))*100, 2)), "")</f>
        <v/>
      </c>
      <c r="AB306">
        <f>IF(AND(ISNUMBER(U306), ISNUMBER(MIN(U$2:U$486)), ISNUMBER(MAX(U$2:U$486))), IF(MAX(U$2:U$486)=MIN(U$2:U$486), 50, ROUND((U306-MIN(U$2:U$486))/(MAX(U$2:U$486)-MIN(U$2:U$486))*100, 2)), "")</f>
        <v/>
      </c>
      <c r="AC306">
        <f>IF(AND(ISNUMBER(Z306), ISNUMBER(AA306), ISNUMBER(AB306)), ROUND((Z306+AA306+AB306)/3, 2), "")</f>
        <v/>
      </c>
    </row>
    <row r="307">
      <c r="A307" t="n">
        <v>167788559</v>
      </c>
      <c r="B307" t="n">
        <v>1650</v>
      </c>
      <c r="C307" t="inlineStr">
        <is>
          <t>£1,650 pcm</t>
        </is>
      </c>
      <c r="D307" t="inlineStr">
        <is>
          <t>monthly</t>
        </is>
      </c>
      <c r="E307" t="inlineStr">
        <is>
          <t>Ground Flat</t>
        </is>
      </c>
      <c r="F307" t="n">
        <v>2</v>
      </c>
      <c r="G307" t="n">
        <v>1</v>
      </c>
      <c r="H307" t="inlineStr">
        <is>
          <t>Cobham Close, Enfield</t>
        </is>
      </c>
      <c r="I307" t="inlineStr">
        <is>
          <t>This well-presented two bedroom ground floor flat offers an excellent opportunity for prospective tenants. The property features a bright dual aspect living room, a fitted kitchen, and a spacious four piece bathroom suite. Both bedrooms are well-proportioned, and there is ample storage space thr...</t>
        </is>
      </c>
      <c r="J307" t="inlineStr">
        <is>
          <t>https://www.rightmove.co.uk/properties/167788559#/?channel=RES_LET</t>
        </is>
      </c>
      <c r="K307" t="inlineStr">
        <is>
          <t>/property-to-rent/contactBranch.html?propertyId=167788559</t>
        </is>
      </c>
      <c r="L307" t="inlineStr">
        <is>
          <t>Kings Group, Enfield Town - Lettings</t>
        </is>
      </c>
      <c r="M307" t="n">
        <v>57562</v>
      </c>
      <c r="N307" t="inlineStr">
        <is>
          <t>Added on 03/10/2025</t>
        </is>
      </c>
      <c r="O307" t="inlineStr">
        <is>
          <t>2025-10-03T17:16:54Z</t>
        </is>
      </c>
      <c r="R307" t="inlineStr">
        <is>
          <t>2025-10-16T17:42:30.202914</t>
        </is>
      </c>
      <c r="S307" t="inlineStr">
        <is>
          <t>{'let available date': 'Now', 'deposit': '£1,650', 'min. tenancy': 'Ask agent', 'let type': 'Long term', 'furnish type': 'Unfurnished', 'council tax': 'Ask agent'}</t>
        </is>
      </c>
      <c r="V307" t="b">
        <v>1</v>
      </c>
      <c r="X307" t="n">
        <v>19.56</v>
      </c>
      <c r="Y307" t="n">
        <v>59.3</v>
      </c>
      <c r="Z307">
        <f>IF(AND(ISNUMBER(B307), ISNUMBER(MIN(B$2:B$486)), ISNUMBER(MAX(B$2:B$486))), IF(MAX(B$2:B$486)=MIN(B$2:B$486), 50, ROUND((MAX(B$2:B$486)-B307)/(MAX(B$2:B$486)-MIN(B$2:B$486))*100, 2)), "")</f>
        <v/>
      </c>
      <c r="AA307">
        <f>IF(AND(ISNUMBER(X307), ISNUMBER(MIN(X$2:X$486)), ISNUMBER(MAX(X$2:X$486))), IF(MAX(X$2:X$486)=MIN(X$2:X$486), 50, ROUND((MAX(X$2:X$486)-X307)/(MAX(X$2:X$486)-MIN(X$2:X$486))*100, 2)), "")</f>
        <v/>
      </c>
      <c r="AB307">
        <f>IF(AND(ISNUMBER(U307), ISNUMBER(MIN(U$2:U$486)), ISNUMBER(MAX(U$2:U$486))), IF(MAX(U$2:U$486)=MIN(U$2:U$486), 50, ROUND((U307-MIN(U$2:U$486))/(MAX(U$2:U$486)-MIN(U$2:U$486))*100, 2)), "")</f>
        <v/>
      </c>
      <c r="AC307">
        <f>IF(AND(ISNUMBER(Z307), ISNUMBER(AA307), ISNUMBER(AB307)), ROUND((Z307+AA307+AB307)/3, 2), "")</f>
        <v/>
      </c>
    </row>
    <row r="308">
      <c r="A308" t="n">
        <v>122531906</v>
      </c>
      <c r="B308" t="n">
        <v>1650</v>
      </c>
      <c r="C308" t="inlineStr">
        <is>
          <t>£1,650 pcm</t>
        </is>
      </c>
      <c r="D308" t="inlineStr">
        <is>
          <t>monthly</t>
        </is>
      </c>
      <c r="E308" t="inlineStr">
        <is>
          <t>Maisonette</t>
        </is>
      </c>
      <c r="F308" t="n">
        <v>2</v>
      </c>
      <c r="G308" t="n">
        <v>1</v>
      </c>
      <c r="H308" t="inlineStr">
        <is>
          <t>Forest Road, London</t>
        </is>
      </c>
      <c r="I308" t="inlineStr">
        <is>
          <t>A stunning two double bedroom flat offered to rent. Being a short walk to Wood Street Station makes this flat ideal for those who need to commute</t>
        </is>
      </c>
      <c r="J308" t="inlineStr">
        <is>
          <t>https://www.rightmove.co.uk/properties/122531906#/?channel=RES_LET</t>
        </is>
      </c>
      <c r="K308" t="inlineStr">
        <is>
          <t>/property-to-rent/contactBranch.html?propertyId=122531906</t>
        </is>
      </c>
      <c r="L308" t="inlineStr">
        <is>
          <t>haart, Walthamstow - Lettings</t>
        </is>
      </c>
      <c r="M308" t="n">
        <v>93848</v>
      </c>
      <c r="N308" t="inlineStr">
        <is>
          <t>Added on 03/10/2025</t>
        </is>
      </c>
      <c r="O308" t="inlineStr">
        <is>
          <t>2022-04-18T13:10:36Z</t>
        </is>
      </c>
      <c r="R308" t="inlineStr">
        <is>
          <t>2025-10-16T17:42:30.202916</t>
        </is>
      </c>
      <c r="S308" t="inlineStr">
        <is>
          <t>{'let available date': '01/11/2025', 'deposit': '£1,903', 'min. tenancy': 'Ask agent', 'let type': 'Long term', 'furnish type': 'Ask agent', 'council tax': 'Ask agent'}</t>
        </is>
      </c>
      <c r="V308" t="b">
        <v>1</v>
      </c>
      <c r="X308" t="n">
        <v>14.81</v>
      </c>
      <c r="Y308" t="n">
        <v>51.5</v>
      </c>
      <c r="Z308">
        <f>IF(AND(ISNUMBER(B308), ISNUMBER(MIN(B$2:B$486)), ISNUMBER(MAX(B$2:B$486))), IF(MAX(B$2:B$486)=MIN(B$2:B$486), 50, ROUND((MAX(B$2:B$486)-B308)/(MAX(B$2:B$486)-MIN(B$2:B$486))*100, 2)), "")</f>
        <v/>
      </c>
      <c r="AA308">
        <f>IF(AND(ISNUMBER(X308), ISNUMBER(MIN(X$2:X$486)), ISNUMBER(MAX(X$2:X$486))), IF(MAX(X$2:X$486)=MIN(X$2:X$486), 50, ROUND((MAX(X$2:X$486)-X308)/(MAX(X$2:X$486)-MIN(X$2:X$486))*100, 2)), "")</f>
        <v/>
      </c>
      <c r="AB308">
        <f>IF(AND(ISNUMBER(U308), ISNUMBER(MIN(U$2:U$486)), ISNUMBER(MAX(U$2:U$486))), IF(MAX(U$2:U$486)=MIN(U$2:U$486), 50, ROUND((U308-MIN(U$2:U$486))/(MAX(U$2:U$486)-MIN(U$2:U$486))*100, 2)), "")</f>
        <v/>
      </c>
      <c r="AC308">
        <f>IF(AND(ISNUMBER(Z308), ISNUMBER(AA308), ISNUMBER(AB308)), ROUND((Z308+AA308+AB308)/3, 2), "")</f>
        <v/>
      </c>
    </row>
    <row r="309">
      <c r="A309" t="n">
        <v>167782298</v>
      </c>
      <c r="B309" t="n">
        <v>1650</v>
      </c>
      <c r="C309" t="inlineStr">
        <is>
          <t>£1,650 pcm</t>
        </is>
      </c>
      <c r="D309" t="inlineStr">
        <is>
          <t>monthly</t>
        </is>
      </c>
      <c r="E309" t="inlineStr">
        <is>
          <t>Terraced</t>
        </is>
      </c>
      <c r="F309" t="n">
        <v>2</v>
      </c>
      <c r="G309" t="n">
        <v>1</v>
      </c>
      <c r="H309" t="inlineStr">
        <is>
          <t xml:space="preserve">Overton Road, London, SE2 </t>
        </is>
      </c>
      <c r="I309" t="inlineStr">
        <is>
          <t>2 Bedroom Mid-Terraced House – Overton Road, Abbey Wood, SE2 - Minutes from the Elizabeth Line – Ideal for Commuters</t>
        </is>
      </c>
      <c r="J309" t="inlineStr">
        <is>
          <t>https://www.rightmove.co.uk/properties/167782298#/?channel=RES_LET</t>
        </is>
      </c>
      <c r="K309" t="inlineStr">
        <is>
          <t>/property-to-rent/contactBranch.html?propertyId=167782298</t>
        </is>
      </c>
      <c r="L309" t="inlineStr">
        <is>
          <t>hi-residential, South East London</t>
        </is>
      </c>
      <c r="M309" t="n">
        <v>5609</v>
      </c>
      <c r="N309" t="inlineStr">
        <is>
          <t>Added on 03/10/2025</t>
        </is>
      </c>
      <c r="O309" t="inlineStr">
        <is>
          <t>2025-10-03T16:19:24Z</t>
        </is>
      </c>
      <c r="Q309" t="inlineStr">
        <is>
          <t>SE2</t>
        </is>
      </c>
      <c r="R309" t="inlineStr">
        <is>
          <t>2025-10-16T17:42:30.202918</t>
        </is>
      </c>
      <c r="S309" t="inlineStr">
        <is>
          <t>{'let available date': '01/11/2025', 'deposit': '£1,903', 'min. tenancy': 'Ask agent', 'let type': 'Long term', 'furnish type': 'Unfurnished', 'council tax': 'Ask agent'}</t>
        </is>
      </c>
      <c r="V309" t="b">
        <v>1</v>
      </c>
      <c r="X309" t="n">
        <v>30.16</v>
      </c>
      <c r="Y309" t="n">
        <v>60.8</v>
      </c>
      <c r="Z309">
        <f>IF(AND(ISNUMBER(B309), ISNUMBER(MIN(B$2:B$486)), ISNUMBER(MAX(B$2:B$486))), IF(MAX(B$2:B$486)=MIN(B$2:B$486), 50, ROUND((MAX(B$2:B$486)-B309)/(MAX(B$2:B$486)-MIN(B$2:B$486))*100, 2)), "")</f>
        <v/>
      </c>
      <c r="AA309">
        <f>IF(AND(ISNUMBER(X309), ISNUMBER(MIN(X$2:X$486)), ISNUMBER(MAX(X$2:X$486))), IF(MAX(X$2:X$486)=MIN(X$2:X$486), 50, ROUND((MAX(X$2:X$486)-X309)/(MAX(X$2:X$486)-MIN(X$2:X$486))*100, 2)), "")</f>
        <v/>
      </c>
      <c r="AB309">
        <f>IF(AND(ISNUMBER(U309), ISNUMBER(MIN(U$2:U$486)), ISNUMBER(MAX(U$2:U$486))), IF(MAX(U$2:U$486)=MIN(U$2:U$486), 50, ROUND((U309-MIN(U$2:U$486))/(MAX(U$2:U$486)-MIN(U$2:U$486))*100, 2)), "")</f>
        <v/>
      </c>
      <c r="AC309">
        <f>IF(AND(ISNUMBER(Z309), ISNUMBER(AA309), ISNUMBER(AB309)), ROUND((Z309+AA309+AB309)/3, 2), "")</f>
        <v/>
      </c>
    </row>
    <row r="310">
      <c r="A310" t="n">
        <v>127299698</v>
      </c>
      <c r="B310" t="n">
        <v>1650</v>
      </c>
      <c r="C310" t="inlineStr">
        <is>
          <t>£1,650 pcm</t>
        </is>
      </c>
      <c r="D310" t="inlineStr">
        <is>
          <t>monthly</t>
        </is>
      </c>
      <c r="E310" t="inlineStr">
        <is>
          <t>Apartment</t>
        </is>
      </c>
      <c r="F310" t="n">
        <v>2</v>
      </c>
      <c r="G310" t="n">
        <v>1</v>
      </c>
      <c r="H310" t="inlineStr">
        <is>
          <t>Gunyard Mews, London</t>
        </is>
      </c>
      <c r="I310" t="inlineStr">
        <is>
          <t>**NO DEPOSIT OPTION AVAILABLE** Beautiful two bedroom ground floor apartment located just a stones throw from great transport links and Queen Elizabeth Hospital. Available for Viewings!</t>
        </is>
      </c>
      <c r="J310" t="inlineStr">
        <is>
          <t>https://www.rightmove.co.uk/properties/127299698#/?channel=RES_LET</t>
        </is>
      </c>
      <c r="K310" t="inlineStr">
        <is>
          <t>/property-to-rent/contactBranch.html?propertyId=127299698</t>
        </is>
      </c>
      <c r="L310" t="inlineStr">
        <is>
          <t>Felicity J Lord, Blackheath Village Lettings</t>
        </is>
      </c>
      <c r="M310" t="n">
        <v>11466</v>
      </c>
      <c r="N310" t="inlineStr">
        <is>
          <t>Reduced on 03/10/2025</t>
        </is>
      </c>
      <c r="O310" t="inlineStr">
        <is>
          <t>2022-09-22T09:21:18Z</t>
        </is>
      </c>
      <c r="R310" t="inlineStr">
        <is>
          <t>2025-10-16T17:42:30.202921</t>
        </is>
      </c>
      <c r="S310" t="inlineStr">
        <is>
          <t>{'let available date': 'Now', 'deposit': '£1,903', 'min. tenancy': 'Ask agent', 'let type': 'Long term', 'furnish type': 'Ask agent', 'council tax': 'Ask agent'}</t>
        </is>
      </c>
      <c r="V310" t="b">
        <v>1</v>
      </c>
      <c r="X310" t="n">
        <v>18.41</v>
      </c>
      <c r="Y310" t="n">
        <v>48.1</v>
      </c>
      <c r="Z310">
        <f>IF(AND(ISNUMBER(B310), ISNUMBER(MIN(B$2:B$486)), ISNUMBER(MAX(B$2:B$486))), IF(MAX(B$2:B$486)=MIN(B$2:B$486), 50, ROUND((MAX(B$2:B$486)-B310)/(MAX(B$2:B$486)-MIN(B$2:B$486))*100, 2)), "")</f>
        <v/>
      </c>
      <c r="AA310">
        <f>IF(AND(ISNUMBER(X310), ISNUMBER(MIN(X$2:X$486)), ISNUMBER(MAX(X$2:X$486))), IF(MAX(X$2:X$486)=MIN(X$2:X$486), 50, ROUND((MAX(X$2:X$486)-X310)/(MAX(X$2:X$486)-MIN(X$2:X$486))*100, 2)), "")</f>
        <v/>
      </c>
      <c r="AB310">
        <f>IF(AND(ISNUMBER(U310), ISNUMBER(MIN(U$2:U$486)), ISNUMBER(MAX(U$2:U$486))), IF(MAX(U$2:U$486)=MIN(U$2:U$486), 50, ROUND((U310-MIN(U$2:U$486))/(MAX(U$2:U$486)-MIN(U$2:U$486))*100, 2)), "")</f>
        <v/>
      </c>
      <c r="AC310">
        <f>IF(AND(ISNUMBER(Z310), ISNUMBER(AA310), ISNUMBER(AB310)), ROUND((Z310+AA310+AB310)/3, 2), "")</f>
        <v/>
      </c>
    </row>
    <row r="311">
      <c r="A311" t="n">
        <v>163468715</v>
      </c>
      <c r="B311" t="n">
        <v>1600</v>
      </c>
      <c r="C311" t="inlineStr">
        <is>
          <t>£1,600 pcm</t>
        </is>
      </c>
      <c r="D311" t="inlineStr">
        <is>
          <t>monthly</t>
        </is>
      </c>
      <c r="E311" t="inlineStr">
        <is>
          <t>Flat</t>
        </is>
      </c>
      <c r="F311" t="n">
        <v>2</v>
      </c>
      <c r="G311" t="n">
        <v>1</v>
      </c>
      <c r="H311" t="inlineStr">
        <is>
          <t>Albert Road, North Woolwich, E16</t>
        </is>
      </c>
      <c r="I311" t="inlineStr">
        <is>
          <t>This well-presented two-bedroom ground floor flat offers 600 sq. ft. of bright and functional living space, set within a residential street near the River Thames and King George V DLR, offering both comfort and practicality. The home opens into a hallway that leads to two well-proportion...</t>
        </is>
      </c>
      <c r="J311" t="inlineStr">
        <is>
          <t>https://www.rightmove.co.uk/properties/163468715#/?channel=RES_LET</t>
        </is>
      </c>
      <c r="K311" t="inlineStr">
        <is>
          <t>/property-to-rent/contactBranch.html?propertyId=163468715</t>
        </is>
      </c>
      <c r="L311" t="inlineStr">
        <is>
          <t>Madison Brook, Docklands</t>
        </is>
      </c>
      <c r="M311" t="n">
        <v>49239</v>
      </c>
      <c r="N311" t="inlineStr">
        <is>
          <t>Reduced on 03/10/2025</t>
        </is>
      </c>
      <c r="O311" t="inlineStr">
        <is>
          <t>2025-06-18T11:31:54Z</t>
        </is>
      </c>
      <c r="Q311" t="inlineStr">
        <is>
          <t>E16</t>
        </is>
      </c>
      <c r="R311" t="inlineStr">
        <is>
          <t>2025-10-16T17:42:30.202923</t>
        </is>
      </c>
      <c r="S311" t="inlineStr">
        <is>
          <t>{'let available date': 'Now', 'deposit': '£1,846', 'min. tenancy': 'Ask agent', 'let type': 'Long term', 'furnish type': 'Furnished', 'council tax': 'Ask agent'}</t>
        </is>
      </c>
      <c r="T311" t="n">
        <v>600</v>
      </c>
      <c r="U311" t="n">
        <v>56</v>
      </c>
      <c r="V311" t="b">
        <v>1</v>
      </c>
      <c r="X311" t="n">
        <v>13.78</v>
      </c>
      <c r="Y311" t="n">
        <v>40.4</v>
      </c>
      <c r="Z311">
        <f>IF(AND(ISNUMBER(B311), ISNUMBER(MIN(B$2:B$486)), ISNUMBER(MAX(B$2:B$486))), IF(MAX(B$2:B$486)=MIN(B$2:B$486), 50, ROUND((MAX(B$2:B$486)-B311)/(MAX(B$2:B$486)-MIN(B$2:B$486))*100, 2)), "")</f>
        <v/>
      </c>
      <c r="AA311">
        <f>IF(AND(ISNUMBER(X311), ISNUMBER(MIN(X$2:X$486)), ISNUMBER(MAX(X$2:X$486))), IF(MAX(X$2:X$486)=MIN(X$2:X$486), 50, ROUND((MAX(X$2:X$486)-X311)/(MAX(X$2:X$486)-MIN(X$2:X$486))*100, 2)), "")</f>
        <v/>
      </c>
      <c r="AB311">
        <f>IF(AND(ISNUMBER(U311), ISNUMBER(MIN(U$2:U$486)), ISNUMBER(MAX(U$2:U$486))), IF(MAX(U$2:U$486)=MIN(U$2:U$486), 50, ROUND((U311-MIN(U$2:U$486))/(MAX(U$2:U$486)-MIN(U$2:U$486))*100, 2)), "")</f>
        <v/>
      </c>
      <c r="AC311">
        <f>IF(AND(ISNUMBER(Z311), ISNUMBER(AA311), ISNUMBER(AB311)), ROUND((Z311+AA311+AB311)/3, 2), "")</f>
        <v/>
      </c>
    </row>
    <row r="312">
      <c r="A312" t="n">
        <v>167770187</v>
      </c>
      <c r="B312" t="n">
        <v>1695</v>
      </c>
      <c r="C312" t="inlineStr">
        <is>
          <t>£1,695 pcm</t>
        </is>
      </c>
      <c r="D312" t="inlineStr">
        <is>
          <t>monthly</t>
        </is>
      </c>
      <c r="E312" t="inlineStr">
        <is>
          <t>Apartment</t>
        </is>
      </c>
      <c r="F312" t="n">
        <v>2</v>
      </c>
      <c r="G312" t="n">
        <v>1</v>
      </c>
      <c r="H312" t="inlineStr">
        <is>
          <t>Oriel Road, by Homerton Station, E9</t>
        </is>
      </c>
      <c r="I312" t="inlineStr">
        <is>
          <t>TWO DOUBLE BEDROOMS | EXTREMELY BRIGHT WITH LARGE WINDOWS | HIGH CEILINGS | GREAT CONDITION | EXCEPTIONAL LOCATION FOR OVERGROUND | WALK TO CHATSWORTH ROAD &amp; VICTORIA PARK | SUITABLE FOR INDIVIDUALS, COUPLES, SHARERS AND SMALL FAMILIES...</t>
        </is>
      </c>
      <c r="J312" t="inlineStr">
        <is>
          <t>https://www.rightmove.co.uk/properties/167770187#/?channel=RES_LET</t>
        </is>
      </c>
      <c r="K312" t="inlineStr">
        <is>
          <t>/property-to-rent/contactBranch.html?propertyId=167770187</t>
        </is>
      </c>
      <c r="L312" t="inlineStr">
        <is>
          <t>bigmove estate agents, Hackney</t>
        </is>
      </c>
      <c r="M312" t="n">
        <v>51218</v>
      </c>
      <c r="N312" t="inlineStr">
        <is>
          <t>Added on 03/10/2025</t>
        </is>
      </c>
      <c r="O312" t="inlineStr">
        <is>
          <t>2025-10-03T13:48:41Z</t>
        </is>
      </c>
      <c r="Q312" t="inlineStr">
        <is>
          <t>E9</t>
        </is>
      </c>
      <c r="R312" t="inlineStr">
        <is>
          <t>2025-10-16T17:42:30.202926</t>
        </is>
      </c>
      <c r="S312" t="inlineStr">
        <is>
          <t>{'let available date': 'Now', 'deposit': '£1,955', 'min. tenancy': '12 months', 'let type': 'Long term', 'furnish type': 'Unfurnished', 'council tax': 'Ask agent'}</t>
        </is>
      </c>
      <c r="V312" t="b">
        <v>1</v>
      </c>
      <c r="X312" t="n">
        <v>8.02</v>
      </c>
      <c r="Y312" t="n">
        <v>35.8</v>
      </c>
      <c r="Z312">
        <f>IF(AND(ISNUMBER(B312), ISNUMBER(MIN(B$2:B$486)), ISNUMBER(MAX(B$2:B$486))), IF(MAX(B$2:B$486)=MIN(B$2:B$486), 50, ROUND((MAX(B$2:B$486)-B312)/(MAX(B$2:B$486)-MIN(B$2:B$486))*100, 2)), "")</f>
        <v/>
      </c>
      <c r="AA312">
        <f>IF(AND(ISNUMBER(X312), ISNUMBER(MIN(X$2:X$486)), ISNUMBER(MAX(X$2:X$486))), IF(MAX(X$2:X$486)=MIN(X$2:X$486), 50, ROUND((MAX(X$2:X$486)-X312)/(MAX(X$2:X$486)-MIN(X$2:X$486))*100, 2)), "")</f>
        <v/>
      </c>
      <c r="AB312">
        <f>IF(AND(ISNUMBER(U312), ISNUMBER(MIN(U$2:U$486)), ISNUMBER(MAX(U$2:U$486))), IF(MAX(U$2:U$486)=MIN(U$2:U$486), 50, ROUND((U312-MIN(U$2:U$486))/(MAX(U$2:U$486)-MIN(U$2:U$486))*100, 2)), "")</f>
        <v/>
      </c>
      <c r="AC312">
        <f>IF(AND(ISNUMBER(Z312), ISNUMBER(AA312), ISNUMBER(AB312)), ROUND((Z312+AA312+AB312)/3, 2), "")</f>
        <v/>
      </c>
    </row>
    <row r="313">
      <c r="A313" t="n">
        <v>166994495</v>
      </c>
      <c r="B313" t="n">
        <v>380</v>
      </c>
      <c r="C313" t="inlineStr">
        <is>
          <t>£1,647 pcm</t>
        </is>
      </c>
      <c r="D313" t="inlineStr">
        <is>
          <t>weekly</t>
        </is>
      </c>
      <c r="E313" t="inlineStr">
        <is>
          <t>Flat</t>
        </is>
      </c>
      <c r="F313" t="n">
        <v>2</v>
      </c>
      <c r="G313" t="n">
        <v>1</v>
      </c>
      <c r="H313" t="inlineStr">
        <is>
          <t>Huxley Gardens, Ealing</t>
        </is>
      </c>
      <c r="I313" t="inlineStr">
        <is>
          <t>A well-maintained property featuring a spacious double bedroom, a single bedroom, an open plan kitchen with a living area and a modern bathroom. Additional benefits include wooden flooring, built-in storage and double-glazed windows.</t>
        </is>
      </c>
      <c r="J313" t="inlineStr">
        <is>
          <t>https://www.rightmove.co.uk/properties/166994495#/?channel=RES_LET</t>
        </is>
      </c>
      <c r="K313" t="inlineStr">
        <is>
          <t>/property-to-rent/contactBranch.html?propertyId=166994495</t>
        </is>
      </c>
      <c r="L313" t="inlineStr">
        <is>
          <t>Robertson Smith &amp; Kempson, Ealing</t>
        </is>
      </c>
      <c r="M313" t="n">
        <v>7963</v>
      </c>
      <c r="N313" t="inlineStr">
        <is>
          <t>Reduced on 03/10/2025</t>
        </is>
      </c>
      <c r="O313" t="inlineStr">
        <is>
          <t>2025-09-15T12:21:41Z</t>
        </is>
      </c>
      <c r="R313" t="inlineStr">
        <is>
          <t>2025-10-16T17:42:30.202928</t>
        </is>
      </c>
      <c r="S313" t="inlineStr">
        <is>
          <t>{'let available date': 'Ask agent', 'deposit': '£1,900', 'min. tenancy': 'Ask agent', 'let type': 'Long term', 'furnish type': 'Ask agent', 'council tax': 'Ask agent'}</t>
        </is>
      </c>
      <c r="V313" t="b">
        <v>1</v>
      </c>
      <c r="X313" t="n">
        <v>14.61</v>
      </c>
      <c r="Y313" t="n">
        <v>41.2</v>
      </c>
      <c r="Z313">
        <f>IF(AND(ISNUMBER(B313), ISNUMBER(MIN(B$2:B$486)), ISNUMBER(MAX(B$2:B$486))), IF(MAX(B$2:B$486)=MIN(B$2:B$486), 50, ROUND((MAX(B$2:B$486)-B313)/(MAX(B$2:B$486)-MIN(B$2:B$486))*100, 2)), "")</f>
        <v/>
      </c>
      <c r="AA313">
        <f>IF(AND(ISNUMBER(X313), ISNUMBER(MIN(X$2:X$486)), ISNUMBER(MAX(X$2:X$486))), IF(MAX(X$2:X$486)=MIN(X$2:X$486), 50, ROUND((MAX(X$2:X$486)-X313)/(MAX(X$2:X$486)-MIN(X$2:X$486))*100, 2)), "")</f>
        <v/>
      </c>
      <c r="AB313">
        <f>IF(AND(ISNUMBER(U313), ISNUMBER(MIN(U$2:U$486)), ISNUMBER(MAX(U$2:U$486))), IF(MAX(U$2:U$486)=MIN(U$2:U$486), 50, ROUND((U313-MIN(U$2:U$486))/(MAX(U$2:U$486)-MIN(U$2:U$486))*100, 2)), "")</f>
        <v/>
      </c>
      <c r="AC313">
        <f>IF(AND(ISNUMBER(Z313), ISNUMBER(AA313), ISNUMBER(AB313)), ROUND((Z313+AA313+AB313)/3, 2), "")</f>
        <v/>
      </c>
    </row>
    <row r="314">
      <c r="A314" t="n">
        <v>167767361</v>
      </c>
      <c r="B314" t="n">
        <v>1750</v>
      </c>
      <c r="C314" t="inlineStr">
        <is>
          <t>£1,750 pcm</t>
        </is>
      </c>
      <c r="D314" t="inlineStr">
        <is>
          <t>monthly</t>
        </is>
      </c>
      <c r="E314" t="inlineStr">
        <is>
          <t>Maisonette</t>
        </is>
      </c>
      <c r="F314" t="n">
        <v>2</v>
      </c>
      <c r="G314" t="n">
        <v>1</v>
      </c>
      <c r="H314" t="inlineStr">
        <is>
          <t>Onslow Close, London, E4</t>
        </is>
      </c>
      <c r="I314" t="inlineStr">
        <is>
          <t>We are proud to offer this delightful 2 bedroom, 1 bathroom maisonette in a great location. Photos to follow shortly. Available to move in from 03 October 2025, this property benefits from availa... ** Property Reference: 2646424 **</t>
        </is>
      </c>
      <c r="J314" t="inlineStr">
        <is>
          <t>https://www.rightmove.co.uk/properties/167767361#/?channel=RES_LET</t>
        </is>
      </c>
      <c r="K314" t="inlineStr">
        <is>
          <t>/property-to-rent/contactBranch.html?propertyId=167767361</t>
        </is>
      </c>
      <c r="L314" t="inlineStr">
        <is>
          <t>OpenRent, London</t>
        </is>
      </c>
      <c r="M314" t="n">
        <v>96668</v>
      </c>
      <c r="N314" t="inlineStr">
        <is>
          <t>Added on 03/10/2025</t>
        </is>
      </c>
      <c r="O314" t="inlineStr">
        <is>
          <t>2025-10-03T13:14:01Z</t>
        </is>
      </c>
      <c r="Q314" t="inlineStr">
        <is>
          <t>E4</t>
        </is>
      </c>
      <c r="R314" t="inlineStr">
        <is>
          <t>2025-10-16T17:42:30.202930</t>
        </is>
      </c>
      <c r="S314" t="inlineStr">
        <is>
          <t>{'let available date': 'Now', 'deposit': '£1,750', 'min. tenancy': 'Ask agent', 'let type': 'Long term', 'furnish type': 'Unfurnished', 'council tax': 'Ask agent'}</t>
        </is>
      </c>
      <c r="V314" t="b">
        <v>1</v>
      </c>
      <c r="X314" t="n">
        <v>19.48</v>
      </c>
      <c r="Y314" t="n">
        <v>57.2</v>
      </c>
      <c r="Z314">
        <f>IF(AND(ISNUMBER(B314), ISNUMBER(MIN(B$2:B$486)), ISNUMBER(MAX(B$2:B$486))), IF(MAX(B$2:B$486)=MIN(B$2:B$486), 50, ROUND((MAX(B$2:B$486)-B314)/(MAX(B$2:B$486)-MIN(B$2:B$486))*100, 2)), "")</f>
        <v/>
      </c>
      <c r="AA314">
        <f>IF(AND(ISNUMBER(X314), ISNUMBER(MIN(X$2:X$486)), ISNUMBER(MAX(X$2:X$486))), IF(MAX(X$2:X$486)=MIN(X$2:X$486), 50, ROUND((MAX(X$2:X$486)-X314)/(MAX(X$2:X$486)-MIN(X$2:X$486))*100, 2)), "")</f>
        <v/>
      </c>
      <c r="AB314">
        <f>IF(AND(ISNUMBER(U314), ISNUMBER(MIN(U$2:U$486)), ISNUMBER(MAX(U$2:U$486))), IF(MAX(U$2:U$486)=MIN(U$2:U$486), 50, ROUND((U314-MIN(U$2:U$486))/(MAX(U$2:U$486)-MIN(U$2:U$486))*100, 2)), "")</f>
        <v/>
      </c>
      <c r="AC314">
        <f>IF(AND(ISNUMBER(Z314), ISNUMBER(AA314), ISNUMBER(AB314)), ROUND((Z314+AA314+AB314)/3, 2), "")</f>
        <v/>
      </c>
    </row>
    <row r="315">
      <c r="A315" t="n">
        <v>167082629</v>
      </c>
      <c r="B315" t="n">
        <v>1700</v>
      </c>
      <c r="C315" t="inlineStr">
        <is>
          <t>£1,700 pcm</t>
        </is>
      </c>
      <c r="D315" t="inlineStr">
        <is>
          <t>monthly</t>
        </is>
      </c>
      <c r="E315" t="inlineStr">
        <is>
          <t>Flat</t>
        </is>
      </c>
      <c r="F315" t="n">
        <v>2</v>
      </c>
      <c r="G315" t="n">
        <v>1</v>
      </c>
      <c r="H315" t="inlineStr">
        <is>
          <t>Ryecroft House Wimbledon</t>
        </is>
      </c>
      <c r="I315" t="inlineStr">
        <is>
          <t>A two bedroom flat situated in a sought after location just moments from South Wimbledon Tube and within easy walking distance to Wimbledon Mainline station. On a peaceful residential road, the property benefits from a modern kitchen, good sized lounge, one double and a large single bedroom. The ...</t>
        </is>
      </c>
      <c r="J315" t="inlineStr">
        <is>
          <t>https://www.rightmove.co.uk/properties/167082629#/?channel=RES_LET</t>
        </is>
      </c>
      <c r="K315" t="inlineStr">
        <is>
          <t>/property-to-rent/contactBranch.html?propertyId=167082629</t>
        </is>
      </c>
      <c r="L315" t="inlineStr">
        <is>
          <t>All in the postcode...SW19.com, Wimbledon</t>
        </is>
      </c>
      <c r="M315" t="n">
        <v>34619</v>
      </c>
      <c r="N315" t="inlineStr">
        <is>
          <t>Reduced on 03/10/2025</t>
        </is>
      </c>
      <c r="O315" t="inlineStr">
        <is>
          <t>2025-09-17T10:28:44Z</t>
        </is>
      </c>
      <c r="R315" t="inlineStr">
        <is>
          <t>2025-10-16T17:42:30.202932</t>
        </is>
      </c>
      <c r="S315" t="inlineStr">
        <is>
          <t>{'let available date': '27/10/2025', 'deposit': 'Ask agent', 'min. tenancy': 'Ask agent', 'let type': 'Long term', 'furnish type': 'Unfurnished', 'council tax': 'Ask agent'}</t>
        </is>
      </c>
      <c r="V315" t="b">
        <v>1</v>
      </c>
      <c r="X315" t="n">
        <v>14.39</v>
      </c>
      <c r="Y315" t="n">
        <v>50.5</v>
      </c>
      <c r="Z315">
        <f>IF(AND(ISNUMBER(B315), ISNUMBER(MIN(B$2:B$486)), ISNUMBER(MAX(B$2:B$486))), IF(MAX(B$2:B$486)=MIN(B$2:B$486), 50, ROUND((MAX(B$2:B$486)-B315)/(MAX(B$2:B$486)-MIN(B$2:B$486))*100, 2)), "")</f>
        <v/>
      </c>
      <c r="AA315">
        <f>IF(AND(ISNUMBER(X315), ISNUMBER(MIN(X$2:X$486)), ISNUMBER(MAX(X$2:X$486))), IF(MAX(X$2:X$486)=MIN(X$2:X$486), 50, ROUND((MAX(X$2:X$486)-X315)/(MAX(X$2:X$486)-MIN(X$2:X$486))*100, 2)), "")</f>
        <v/>
      </c>
      <c r="AB315">
        <f>IF(AND(ISNUMBER(U315), ISNUMBER(MIN(U$2:U$486)), ISNUMBER(MAX(U$2:U$486))), IF(MAX(U$2:U$486)=MIN(U$2:U$486), 50, ROUND((U315-MIN(U$2:U$486))/(MAX(U$2:U$486)-MIN(U$2:U$486))*100, 2)), "")</f>
        <v/>
      </c>
      <c r="AC315">
        <f>IF(AND(ISNUMBER(Z315), ISNUMBER(AA315), ISNUMBER(AB315)), ROUND((Z315+AA315+AB315)/3, 2), "")</f>
        <v/>
      </c>
    </row>
    <row r="316">
      <c r="A316" t="n">
        <v>164827133</v>
      </c>
      <c r="B316" t="n">
        <v>323</v>
      </c>
      <c r="C316" t="inlineStr">
        <is>
          <t>£1,400 pcm</t>
        </is>
      </c>
      <c r="D316" t="inlineStr">
        <is>
          <t>weekly</t>
        </is>
      </c>
      <c r="E316" t="inlineStr">
        <is>
          <t>Flat</t>
        </is>
      </c>
      <c r="F316" t="n">
        <v>2</v>
      </c>
      <c r="G316" t="n">
        <v>1</v>
      </c>
      <c r="H316" t="inlineStr">
        <is>
          <t>Cheviot Gardens, Golders Green Estate</t>
        </is>
      </c>
      <c r="I316" t="inlineStr">
        <is>
          <t>This well presented top floor conversion is bight and spacious with a separate reception, fitted modern kitchen, a well sized double bedroom and a further room. The flat is has been recently refurbished and is ideally situated in the Golders Green Estate.</t>
        </is>
      </c>
      <c r="J316" t="inlineStr">
        <is>
          <t>https://www.rightmove.co.uk/properties/164827133#/?channel=RES_LET</t>
        </is>
      </c>
      <c r="K316" t="inlineStr">
        <is>
          <t>/property-to-rent/contactBranch.html?propertyId=164827133</t>
        </is>
      </c>
      <c r="L316" t="inlineStr">
        <is>
          <t>Dexters, Cricklewood</t>
        </is>
      </c>
      <c r="M316" t="n">
        <v>72541</v>
      </c>
      <c r="N316" t="inlineStr">
        <is>
          <t>Reduced on 03/10/2025</t>
        </is>
      </c>
      <c r="O316" t="inlineStr">
        <is>
          <t>2025-07-22T19:21:17Z</t>
        </is>
      </c>
      <c r="R316" t="inlineStr">
        <is>
          <t>2025-10-16T17:42:30.202933</t>
        </is>
      </c>
      <c r="S316" t="inlineStr">
        <is>
          <t>{'let available date': 'Ask agent', 'deposit': '£1,955', 'min. tenancy': 'Ask agent', 'let type': 'Long term', 'furnish type': 'Part furnished', 'council tax': 'Ask agent'}</t>
        </is>
      </c>
      <c r="V316" t="b">
        <v>1</v>
      </c>
      <c r="X316" t="n">
        <v>10.81</v>
      </c>
      <c r="Y316" t="n">
        <v>38.8</v>
      </c>
      <c r="Z316">
        <f>IF(AND(ISNUMBER(B316), ISNUMBER(MIN(B$2:B$486)), ISNUMBER(MAX(B$2:B$486))), IF(MAX(B$2:B$486)=MIN(B$2:B$486), 50, ROUND((MAX(B$2:B$486)-B316)/(MAX(B$2:B$486)-MIN(B$2:B$486))*100, 2)), "")</f>
        <v/>
      </c>
      <c r="AA316">
        <f>IF(AND(ISNUMBER(X316), ISNUMBER(MIN(X$2:X$486)), ISNUMBER(MAX(X$2:X$486))), IF(MAX(X$2:X$486)=MIN(X$2:X$486), 50, ROUND((MAX(X$2:X$486)-X316)/(MAX(X$2:X$486)-MIN(X$2:X$486))*100, 2)), "")</f>
        <v/>
      </c>
      <c r="AB316">
        <f>IF(AND(ISNUMBER(U316), ISNUMBER(MIN(U$2:U$486)), ISNUMBER(MAX(U$2:U$486))), IF(MAX(U$2:U$486)=MIN(U$2:U$486), 50, ROUND((U316-MIN(U$2:U$486))/(MAX(U$2:U$486)-MIN(U$2:U$486))*100, 2)), "")</f>
        <v/>
      </c>
      <c r="AC316">
        <f>IF(AND(ISNUMBER(Z316), ISNUMBER(AA316), ISNUMBER(AB316)), ROUND((Z316+AA316+AB316)/3, 2), "")</f>
        <v/>
      </c>
    </row>
    <row r="317">
      <c r="A317" t="n">
        <v>167765042</v>
      </c>
      <c r="B317" t="n">
        <v>1750</v>
      </c>
      <c r="C317" t="inlineStr">
        <is>
          <t>£1,750 pcm</t>
        </is>
      </c>
      <c r="D317" t="inlineStr">
        <is>
          <t>monthly</t>
        </is>
      </c>
      <c r="E317" t="inlineStr">
        <is>
          <t>Apartment</t>
        </is>
      </c>
      <c r="F317" t="n">
        <v>2</v>
      </c>
      <c r="G317" t="n">
        <v>1</v>
      </c>
      <c r="H317" t="inlineStr">
        <is>
          <t>Francis Road, London, E10</t>
        </is>
      </c>
      <c r="I317" t="inlineStr">
        <is>
          <t xml:space="preserve">• AVAILABLE MID NOVEMBER • TWO BEDROOMS • COURTYARD GARDEN • SEPARATE LOUNGE • EXCELLENT LOCATION • LARGE LOUNGE/DINER </t>
        </is>
      </c>
      <c r="J317" t="inlineStr">
        <is>
          <t>https://www.rightmove.co.uk/properties/167765042#/?channel=RES_LET</t>
        </is>
      </c>
      <c r="K317" t="inlineStr">
        <is>
          <t>/property-to-rent/contactBranch.html?propertyId=167765042</t>
        </is>
      </c>
      <c r="L317" t="inlineStr">
        <is>
          <t>Balgores, Loughton - Lettings</t>
        </is>
      </c>
      <c r="M317" t="n">
        <v>219440</v>
      </c>
      <c r="N317" t="inlineStr">
        <is>
          <t>Added on 03/10/2025</t>
        </is>
      </c>
      <c r="O317" t="inlineStr">
        <is>
          <t>2025-10-03T12:43:14Z</t>
        </is>
      </c>
      <c r="Q317" t="inlineStr">
        <is>
          <t>E10</t>
        </is>
      </c>
      <c r="R317" t="inlineStr">
        <is>
          <t>2025-10-16T17:42:31.747199</t>
        </is>
      </c>
      <c r="S317" t="inlineStr">
        <is>
          <t>{'let available date': '19/11/2025', 'deposit': '£2,019', 'min. tenancy': 'Ask agent', 'let type': 'Long term', 'furnish type': 'Unfurnished', 'council tax': 'Ask agent'}</t>
        </is>
      </c>
      <c r="V317" t="b">
        <v>1</v>
      </c>
      <c r="X317" t="n">
        <v>12.31</v>
      </c>
      <c r="Y317" t="n">
        <v>49.3</v>
      </c>
      <c r="Z317">
        <f>IF(AND(ISNUMBER(B317), ISNUMBER(MIN(B$2:B$486)), ISNUMBER(MAX(B$2:B$486))), IF(MAX(B$2:B$486)=MIN(B$2:B$486), 50, ROUND((MAX(B$2:B$486)-B317)/(MAX(B$2:B$486)-MIN(B$2:B$486))*100, 2)), "")</f>
        <v/>
      </c>
      <c r="AA317">
        <f>IF(AND(ISNUMBER(X317), ISNUMBER(MIN(X$2:X$486)), ISNUMBER(MAX(X$2:X$486))), IF(MAX(X$2:X$486)=MIN(X$2:X$486), 50, ROUND((MAX(X$2:X$486)-X317)/(MAX(X$2:X$486)-MIN(X$2:X$486))*100, 2)), "")</f>
        <v/>
      </c>
      <c r="AB317">
        <f>IF(AND(ISNUMBER(U317), ISNUMBER(MIN(U$2:U$486)), ISNUMBER(MAX(U$2:U$486))), IF(MAX(U$2:U$486)=MIN(U$2:U$486), 50, ROUND((U317-MIN(U$2:U$486))/(MAX(U$2:U$486)-MIN(U$2:U$486))*100, 2)), "")</f>
        <v/>
      </c>
      <c r="AC317">
        <f>IF(AND(ISNUMBER(Z317), ISNUMBER(AA317), ISNUMBER(AB317)), ROUND((Z317+AA317+AB317)/3, 2), "")</f>
        <v/>
      </c>
    </row>
    <row r="318">
      <c r="A318" t="n">
        <v>167299196</v>
      </c>
      <c r="B318" t="n">
        <v>1750</v>
      </c>
      <c r="C318" t="inlineStr">
        <is>
          <t>£1,750 pcm</t>
        </is>
      </c>
      <c r="D318" t="inlineStr">
        <is>
          <t>monthly</t>
        </is>
      </c>
      <c r="E318" t="inlineStr">
        <is>
          <t>Flat</t>
        </is>
      </c>
      <c r="F318" t="n">
        <v>2</v>
      </c>
      <c r="G318" t="n">
        <v>1</v>
      </c>
      <c r="H318" t="inlineStr">
        <is>
          <t>Cross Road, Wimbledon</t>
        </is>
      </c>
      <c r="I318" t="inlineStr">
        <is>
          <t>Well presented two bedroom ground floor purpose built flat with allocated parking space in well maintained development. Accommodation comprises, spacious lounge, main bedroom with built in wardrobes and sink area, single bedroom/ study with built in wardrobe, fitted kitchen, family bathroom with ...</t>
        </is>
      </c>
      <c r="J318" t="inlineStr">
        <is>
          <t>https://www.rightmove.co.uk/properties/167299196#/?channel=RES_LET</t>
        </is>
      </c>
      <c r="K318" t="inlineStr">
        <is>
          <t>/property-to-rent/contactBranch.html?propertyId=167299196</t>
        </is>
      </c>
      <c r="L318" t="inlineStr">
        <is>
          <t>andrew scott robertson, Wimbledon Village</t>
        </is>
      </c>
      <c r="M318" t="n">
        <v>135596</v>
      </c>
      <c r="N318" t="inlineStr">
        <is>
          <t>Reduced on 03/10/2025</t>
        </is>
      </c>
      <c r="O318" t="inlineStr">
        <is>
          <t>2025-09-23T11:05:25Z</t>
        </is>
      </c>
      <c r="R318" t="inlineStr">
        <is>
          <t>2025-10-16T17:42:31.747210</t>
        </is>
      </c>
      <c r="S318" t="inlineStr">
        <is>
          <t>{'let available date': 'Ask agent', 'deposit': '£2,019', 'min. tenancy': 'Ask agent', 'let type': 'Long term', 'furnish type': 'Ask agent', 'council tax': 'Ask agent'}</t>
        </is>
      </c>
      <c r="V318" t="b">
        <v>1</v>
      </c>
      <c r="X318" t="n">
        <v>15.49</v>
      </c>
      <c r="Y318" t="n">
        <v>50.4</v>
      </c>
      <c r="Z318">
        <f>IF(AND(ISNUMBER(B318), ISNUMBER(MIN(B$2:B$486)), ISNUMBER(MAX(B$2:B$486))), IF(MAX(B$2:B$486)=MIN(B$2:B$486), 50, ROUND((MAX(B$2:B$486)-B318)/(MAX(B$2:B$486)-MIN(B$2:B$486))*100, 2)), "")</f>
        <v/>
      </c>
      <c r="AA318">
        <f>IF(AND(ISNUMBER(X318), ISNUMBER(MIN(X$2:X$486)), ISNUMBER(MAX(X$2:X$486))), IF(MAX(X$2:X$486)=MIN(X$2:X$486), 50, ROUND((MAX(X$2:X$486)-X318)/(MAX(X$2:X$486)-MIN(X$2:X$486))*100, 2)), "")</f>
        <v/>
      </c>
      <c r="AB318">
        <f>IF(AND(ISNUMBER(U318), ISNUMBER(MIN(U$2:U$486)), ISNUMBER(MAX(U$2:U$486))), IF(MAX(U$2:U$486)=MIN(U$2:U$486), 50, ROUND((U318-MIN(U$2:U$486))/(MAX(U$2:U$486)-MIN(U$2:U$486))*100, 2)), "")</f>
        <v/>
      </c>
      <c r="AC318">
        <f>IF(AND(ISNUMBER(Z318), ISNUMBER(AA318), ISNUMBER(AB318)), ROUND((Z318+AA318+AB318)/3, 2), "")</f>
        <v/>
      </c>
    </row>
    <row r="319">
      <c r="A319" t="n">
        <v>167759615</v>
      </c>
      <c r="B319" t="n">
        <v>1700</v>
      </c>
      <c r="C319" t="inlineStr">
        <is>
          <t>£1,700 pcm</t>
        </is>
      </c>
      <c r="D319" t="inlineStr">
        <is>
          <t>monthly</t>
        </is>
      </c>
      <c r="E319" t="inlineStr">
        <is>
          <t>Flat</t>
        </is>
      </c>
      <c r="F319" t="n">
        <v>2</v>
      </c>
      <c r="G319" t="n">
        <v>1</v>
      </c>
      <c r="H319" t="inlineStr">
        <is>
          <t>Clarendon Road, Walthamstow E17</t>
        </is>
      </c>
      <c r="I319" t="inlineStr">
        <is>
          <t>Newly Renovated - Two Bedroom Flat, Clarendon Road, Walthamstow E17</t>
        </is>
      </c>
      <c r="J319" t="inlineStr">
        <is>
          <t>https://www.rightmove.co.uk/properties/167759615#/?channel=RES_LET</t>
        </is>
      </c>
      <c r="K319" t="inlineStr">
        <is>
          <t>/property-to-rent/contactBranch.html?propertyId=167759615</t>
        </is>
      </c>
      <c r="L319" t="inlineStr">
        <is>
          <t>Steed Estates, Ilford</t>
        </is>
      </c>
      <c r="M319" t="n">
        <v>285482</v>
      </c>
      <c r="N319" t="inlineStr">
        <is>
          <t>Added on 03/10/2025</t>
        </is>
      </c>
      <c r="O319" t="inlineStr">
        <is>
          <t>2025-10-03T11:36:03Z</t>
        </is>
      </c>
      <c r="Q319" t="inlineStr">
        <is>
          <t>E17</t>
        </is>
      </c>
      <c r="R319" t="inlineStr">
        <is>
          <t>2025-10-16T17:42:31.747213</t>
        </is>
      </c>
      <c r="S319" t="inlineStr">
        <is>
          <t>{'let available date': 'Now', 'deposit': '£1,700', 'min. tenancy': 'Ask agent', 'let type': 'Long term', 'furnish type': 'Unfurnished', 'council tax': 'Ask agent'}</t>
        </is>
      </c>
      <c r="V319" t="b">
        <v>1</v>
      </c>
      <c r="X319" t="n">
        <v>14.24</v>
      </c>
      <c r="Y319" t="n">
        <v>55.8</v>
      </c>
      <c r="Z319">
        <f>IF(AND(ISNUMBER(B319), ISNUMBER(MIN(B$2:B$486)), ISNUMBER(MAX(B$2:B$486))), IF(MAX(B$2:B$486)=MIN(B$2:B$486), 50, ROUND((MAX(B$2:B$486)-B319)/(MAX(B$2:B$486)-MIN(B$2:B$486))*100, 2)), "")</f>
        <v/>
      </c>
      <c r="AA319">
        <f>IF(AND(ISNUMBER(X319), ISNUMBER(MIN(X$2:X$486)), ISNUMBER(MAX(X$2:X$486))), IF(MAX(X$2:X$486)=MIN(X$2:X$486), 50, ROUND((MAX(X$2:X$486)-X319)/(MAX(X$2:X$486)-MIN(X$2:X$486))*100, 2)), "")</f>
        <v/>
      </c>
      <c r="AB319">
        <f>IF(AND(ISNUMBER(U319), ISNUMBER(MIN(U$2:U$486)), ISNUMBER(MAX(U$2:U$486))), IF(MAX(U$2:U$486)=MIN(U$2:U$486), 50, ROUND((U319-MIN(U$2:U$486))/(MAX(U$2:U$486)-MIN(U$2:U$486))*100, 2)), "")</f>
        <v/>
      </c>
      <c r="AC319">
        <f>IF(AND(ISNUMBER(Z319), ISNUMBER(AA319), ISNUMBER(AB319)), ROUND((Z319+AA319+AB319)/3, 2), "")</f>
        <v/>
      </c>
    </row>
    <row r="320">
      <c r="A320" t="n">
        <v>167754521</v>
      </c>
      <c r="B320" t="n">
        <v>1700</v>
      </c>
      <c r="C320" t="inlineStr">
        <is>
          <t>£1,700 pcm</t>
        </is>
      </c>
      <c r="D320" t="inlineStr">
        <is>
          <t>monthly</t>
        </is>
      </c>
      <c r="E320" t="inlineStr">
        <is>
          <t>Flat</t>
        </is>
      </c>
      <c r="F320" t="n">
        <v>2</v>
      </c>
      <c r="G320" t="n">
        <v>1</v>
      </c>
      <c r="H320" t="inlineStr">
        <is>
          <t>Holden Road, North Finchley</t>
        </is>
      </c>
      <c r="I320" t="inlineStr">
        <is>
          <t>Nestled in the desirable area of North Finchley, this charming two double bedroom ground floor flat offers a perfect blend of modern living and convenience. Situated within a contemporary purpose-built block, the property is ideally located just a stone's throw from Woodside Park Station, making ...</t>
        </is>
      </c>
      <c r="J320" t="inlineStr">
        <is>
          <t>https://www.rightmove.co.uk/properties/167754521#/?channel=RES_LET</t>
        </is>
      </c>
      <c r="K320" t="inlineStr">
        <is>
          <t>/property-to-rent/contactBranch.html?propertyId=167754521</t>
        </is>
      </c>
      <c r="L320" t="inlineStr">
        <is>
          <t>Squires Estates, Finchley</t>
        </is>
      </c>
      <c r="M320" t="n">
        <v>12569</v>
      </c>
      <c r="N320" t="inlineStr">
        <is>
          <t>Added on 03/10/2025</t>
        </is>
      </c>
      <c r="O320" t="inlineStr">
        <is>
          <t>2025-10-03T10:42:06Z</t>
        </is>
      </c>
      <c r="R320" t="inlineStr">
        <is>
          <t>2025-10-16T17:42:31.747216</t>
        </is>
      </c>
      <c r="S320" t="inlineStr">
        <is>
          <t>{'let available date': '20/11/2025', 'deposit': '£1,961', 'min. tenancy': 'Ask agent', 'let type': 'Long term', 'furnish type': 'Unfurnished', 'council tax': 'Ask agent'}</t>
        </is>
      </c>
      <c r="V320" t="b">
        <v>1</v>
      </c>
      <c r="X320" t="n">
        <v>14.09</v>
      </c>
      <c r="Y320" t="n">
        <v>46.9</v>
      </c>
      <c r="Z320">
        <f>IF(AND(ISNUMBER(B320), ISNUMBER(MIN(B$2:B$486)), ISNUMBER(MAX(B$2:B$486))), IF(MAX(B$2:B$486)=MIN(B$2:B$486), 50, ROUND((MAX(B$2:B$486)-B320)/(MAX(B$2:B$486)-MIN(B$2:B$486))*100, 2)), "")</f>
        <v/>
      </c>
      <c r="AA320">
        <f>IF(AND(ISNUMBER(X320), ISNUMBER(MIN(X$2:X$486)), ISNUMBER(MAX(X$2:X$486))), IF(MAX(X$2:X$486)=MIN(X$2:X$486), 50, ROUND((MAX(X$2:X$486)-X320)/(MAX(X$2:X$486)-MIN(X$2:X$486))*100, 2)), "")</f>
        <v/>
      </c>
      <c r="AB320">
        <f>IF(AND(ISNUMBER(U320), ISNUMBER(MIN(U$2:U$486)), ISNUMBER(MAX(U$2:U$486))), IF(MAX(U$2:U$486)=MIN(U$2:U$486), 50, ROUND((U320-MIN(U$2:U$486))/(MAX(U$2:U$486)-MIN(U$2:U$486))*100, 2)), "")</f>
        <v/>
      </c>
      <c r="AC320">
        <f>IF(AND(ISNUMBER(Z320), ISNUMBER(AA320), ISNUMBER(AB320)), ROUND((Z320+AA320+AB320)/3, 2), "")</f>
        <v/>
      </c>
    </row>
    <row r="321">
      <c r="A321" t="n">
        <v>166861217</v>
      </c>
      <c r="B321" t="n">
        <v>1600</v>
      </c>
      <c r="C321" t="inlineStr">
        <is>
          <t>£1,600 pcm</t>
        </is>
      </c>
      <c r="D321" t="inlineStr">
        <is>
          <t>monthly</t>
        </is>
      </c>
      <c r="E321" t="inlineStr">
        <is>
          <t>Flat</t>
        </is>
      </c>
      <c r="F321" t="n">
        <v>2</v>
      </c>
      <c r="H321" t="inlineStr">
        <is>
          <t>Lea Road, London, EN2</t>
        </is>
      </c>
      <c r="I321" t="inlineStr">
        <is>
          <t>This first floor flat compromises two bedrooms, lounge, fitted kitchen, family bathroom and balcony. Unfurnished, Council tax band B.</t>
        </is>
      </c>
      <c r="J321" t="inlineStr">
        <is>
          <t>https://www.rightmove.co.uk/properties/166861217#/?channel=RES_LET</t>
        </is>
      </c>
      <c r="K321" t="inlineStr">
        <is>
          <t>/property-to-rent/contactBranch.html?propertyId=166861217</t>
        </is>
      </c>
      <c r="L321" t="inlineStr">
        <is>
          <t>Dayfields, Enfield Town</t>
        </is>
      </c>
      <c r="M321" t="n">
        <v>58157</v>
      </c>
      <c r="N321" t="inlineStr">
        <is>
          <t>Reduced on 03/10/2025</t>
        </is>
      </c>
      <c r="O321" t="inlineStr">
        <is>
          <t>2025-09-11T09:56:53Z</t>
        </is>
      </c>
      <c r="Q321" t="inlineStr">
        <is>
          <t>EN2</t>
        </is>
      </c>
      <c r="R321" t="inlineStr">
        <is>
          <t>2025-10-16T17:42:31.747224</t>
        </is>
      </c>
      <c r="S321" t="inlineStr">
        <is>
          <t>{'let available date': 'Ask agent', 'deposit': '£1,600', 'min. tenancy': 'Ask agent', 'let type': 'Long term', 'furnish type': 'Unfurnished', 'council tax': 'Ask agent'}</t>
        </is>
      </c>
      <c r="V321" t="b">
        <v>1</v>
      </c>
      <c r="X321" t="n">
        <v>23.71</v>
      </c>
      <c r="Y321" t="n">
        <v>62.1</v>
      </c>
      <c r="Z321">
        <f>IF(AND(ISNUMBER(B321), ISNUMBER(MIN(B$2:B$486)), ISNUMBER(MAX(B$2:B$486))), IF(MAX(B$2:B$486)=MIN(B$2:B$486), 50, ROUND((MAX(B$2:B$486)-B321)/(MAX(B$2:B$486)-MIN(B$2:B$486))*100, 2)), "")</f>
        <v/>
      </c>
      <c r="AA321">
        <f>IF(AND(ISNUMBER(X321), ISNUMBER(MIN(X$2:X$486)), ISNUMBER(MAX(X$2:X$486))), IF(MAX(X$2:X$486)=MIN(X$2:X$486), 50, ROUND((MAX(X$2:X$486)-X321)/(MAX(X$2:X$486)-MIN(X$2:X$486))*100, 2)), "")</f>
        <v/>
      </c>
      <c r="AB321">
        <f>IF(AND(ISNUMBER(U321), ISNUMBER(MIN(U$2:U$486)), ISNUMBER(MAX(U$2:U$486))), IF(MAX(U$2:U$486)=MIN(U$2:U$486), 50, ROUND((U321-MIN(U$2:U$486))/(MAX(U$2:U$486)-MIN(U$2:U$486))*100, 2)), "")</f>
        <v/>
      </c>
      <c r="AC321">
        <f>IF(AND(ISNUMBER(Z321), ISNUMBER(AA321), ISNUMBER(AB321)), ROUND((Z321+AA321+AB321)/3, 2), "")</f>
        <v/>
      </c>
    </row>
    <row r="322">
      <c r="A322" t="n">
        <v>167867501</v>
      </c>
      <c r="B322" t="n">
        <v>1600</v>
      </c>
      <c r="C322" t="inlineStr">
        <is>
          <t>£1,600 pcm</t>
        </is>
      </c>
      <c r="D322" t="inlineStr">
        <is>
          <t>monthly</t>
        </is>
      </c>
      <c r="E322" t="inlineStr">
        <is>
          <t>Flat</t>
        </is>
      </c>
      <c r="F322" t="n">
        <v>2</v>
      </c>
      <c r="G322" t="n">
        <v>1</v>
      </c>
      <c r="H322" t="inlineStr">
        <is>
          <t>Norley Vale, Putney</t>
        </is>
      </c>
      <c r="I322" t="inlineStr">
        <is>
          <t>A well presented two double bedroom apartment with bright living space and private balcony on the seventh floor of this purpose built block in Roehampton.</t>
        </is>
      </c>
      <c r="J322" t="inlineStr">
        <is>
          <t>https://www.rightmove.co.uk/properties/167867501#/?channel=RES_LET</t>
        </is>
      </c>
      <c r="K322" t="inlineStr">
        <is>
          <t>/property-to-rent/contactBranch.html?propertyId=167867501</t>
        </is>
      </c>
      <c r="L322" t="inlineStr">
        <is>
          <t>Dexters, Putney</t>
        </is>
      </c>
      <c r="M322" t="n">
        <v>84803</v>
      </c>
      <c r="N322" t="inlineStr">
        <is>
          <t>Added on 02/10/2025</t>
        </is>
      </c>
      <c r="O322" t="inlineStr">
        <is>
          <t>2025-10-06T16:28:46Z</t>
        </is>
      </c>
      <c r="R322" t="inlineStr">
        <is>
          <t>2025-10-16T17:42:31.747228</t>
        </is>
      </c>
      <c r="S322" t="inlineStr">
        <is>
          <t>{'let available date': 'Ask agent', 'deposit': '£1,846', 'min. tenancy': 'Ask agent', 'let type': 'Long term', 'furnish type': 'Unfurnished', 'council tax': 'Ask agent'}</t>
        </is>
      </c>
      <c r="V322" t="b">
        <v>1</v>
      </c>
      <c r="X322" t="n">
        <v>12.43</v>
      </c>
      <c r="Y322" t="n">
        <v>48.1</v>
      </c>
      <c r="Z322">
        <f>IF(AND(ISNUMBER(B322), ISNUMBER(MIN(B$2:B$486)), ISNUMBER(MAX(B$2:B$486))), IF(MAX(B$2:B$486)=MIN(B$2:B$486), 50, ROUND((MAX(B$2:B$486)-B322)/(MAX(B$2:B$486)-MIN(B$2:B$486))*100, 2)), "")</f>
        <v/>
      </c>
      <c r="AA322">
        <f>IF(AND(ISNUMBER(X322), ISNUMBER(MIN(X$2:X$486)), ISNUMBER(MAX(X$2:X$486))), IF(MAX(X$2:X$486)=MIN(X$2:X$486), 50, ROUND((MAX(X$2:X$486)-X322)/(MAX(X$2:X$486)-MIN(X$2:X$486))*100, 2)), "")</f>
        <v/>
      </c>
      <c r="AB322">
        <f>IF(AND(ISNUMBER(U322), ISNUMBER(MIN(U$2:U$486)), ISNUMBER(MAX(U$2:U$486))), IF(MAX(U$2:U$486)=MIN(U$2:U$486), 50, ROUND((U322-MIN(U$2:U$486))/(MAX(U$2:U$486)-MIN(U$2:U$486))*100, 2)), "")</f>
        <v/>
      </c>
      <c r="AC322">
        <f>IF(AND(ISNUMBER(Z322), ISNUMBER(AA322), ISNUMBER(AB322)), ROUND((Z322+AA322+AB322)/3, 2), "")</f>
        <v/>
      </c>
    </row>
    <row r="323">
      <c r="A323" t="n">
        <v>167731052</v>
      </c>
      <c r="B323" t="n">
        <v>1550</v>
      </c>
      <c r="C323" t="inlineStr">
        <is>
          <t>£1,550 pcm</t>
        </is>
      </c>
      <c r="D323" t="inlineStr">
        <is>
          <t>monthly</t>
        </is>
      </c>
      <c r="E323" t="inlineStr">
        <is>
          <t>Flat</t>
        </is>
      </c>
      <c r="F323" t="n">
        <v>2</v>
      </c>
      <c r="G323" t="n">
        <v>1</v>
      </c>
      <c r="H323" t="inlineStr">
        <is>
          <t>Emerald Close, London, E16</t>
        </is>
      </c>
      <c r="I323" t="inlineStr">
        <is>
          <t>Eazy 2 Let Ltd are delighted to offer you this lovely two-bedroom flat located in the heart of Beckton just off Emerald Close, London, E16 3TS, with only a short distance away from local shopping amenities. Available from 20-10-2025</t>
        </is>
      </c>
      <c r="J323" t="inlineStr">
        <is>
          <t>https://www.rightmove.co.uk/properties/167731052#/?channel=RES_LET</t>
        </is>
      </c>
      <c r="K323" t="inlineStr">
        <is>
          <t>/property-to-rent/contactBranch.html?propertyId=167731052</t>
        </is>
      </c>
      <c r="L323" t="inlineStr">
        <is>
          <t>EAZY 2 LET LTD, London</t>
        </is>
      </c>
      <c r="M323" t="n">
        <v>61167</v>
      </c>
      <c r="N323" t="inlineStr">
        <is>
          <t>Added on 02/10/2025</t>
        </is>
      </c>
      <c r="O323" t="inlineStr">
        <is>
          <t>2025-10-02T17:32:01Z</t>
        </is>
      </c>
      <c r="Q323" t="inlineStr">
        <is>
          <t>E16</t>
        </is>
      </c>
      <c r="R323" t="inlineStr">
        <is>
          <t>2025-10-16T17:42:31.747231</t>
        </is>
      </c>
      <c r="S323" t="inlineStr">
        <is>
          <t>{'let available date': '20/10/2025', 'deposit': '£1,550', 'min. tenancy': 'Ask agent', 'let type': 'Long term', 'furnish type': 'Part furnished', 'council tax': 'Ask agent'}</t>
        </is>
      </c>
      <c r="V323" t="b">
        <v>1</v>
      </c>
      <c r="X323" t="n">
        <v>13.78</v>
      </c>
      <c r="Y323" t="n">
        <v>40.4</v>
      </c>
      <c r="Z323">
        <f>IF(AND(ISNUMBER(B323), ISNUMBER(MIN(B$2:B$486)), ISNUMBER(MAX(B$2:B$486))), IF(MAX(B$2:B$486)=MIN(B$2:B$486), 50, ROUND((MAX(B$2:B$486)-B323)/(MAX(B$2:B$486)-MIN(B$2:B$486))*100, 2)), "")</f>
        <v/>
      </c>
      <c r="AA323">
        <f>IF(AND(ISNUMBER(X323), ISNUMBER(MIN(X$2:X$486)), ISNUMBER(MAX(X$2:X$486))), IF(MAX(X$2:X$486)=MIN(X$2:X$486), 50, ROUND((MAX(X$2:X$486)-X323)/(MAX(X$2:X$486)-MIN(X$2:X$486))*100, 2)), "")</f>
        <v/>
      </c>
      <c r="AB323">
        <f>IF(AND(ISNUMBER(U323), ISNUMBER(MIN(U$2:U$486)), ISNUMBER(MAX(U$2:U$486))), IF(MAX(U$2:U$486)=MIN(U$2:U$486), 50, ROUND((U323-MIN(U$2:U$486))/(MAX(U$2:U$486)-MIN(U$2:U$486))*100, 2)), "")</f>
        <v/>
      </c>
      <c r="AC323">
        <f>IF(AND(ISNUMBER(Z323), ISNUMBER(AA323), ISNUMBER(AB323)), ROUND((Z323+AA323+AB323)/3, 2), "")</f>
        <v/>
      </c>
    </row>
    <row r="324">
      <c r="A324" t="n">
        <v>158615162</v>
      </c>
      <c r="B324" t="n">
        <v>1700</v>
      </c>
      <c r="C324" t="inlineStr">
        <is>
          <t>£1,700 pcm</t>
        </is>
      </c>
      <c r="D324" t="inlineStr">
        <is>
          <t>monthly</t>
        </is>
      </c>
      <c r="E324" t="inlineStr">
        <is>
          <t>Flat</t>
        </is>
      </c>
      <c r="F324" t="n">
        <v>2</v>
      </c>
      <c r="G324" t="n">
        <v>1</v>
      </c>
      <c r="H324" t="inlineStr">
        <is>
          <t>Selhurst Road, South Norwood, SE25</t>
        </is>
      </c>
      <c r="I324" t="inlineStr">
        <is>
          <t>AVAILABLE NOW is this WELL SIZED flat located on the popular Selhurst Road, SE25. The property is located within walking distance to NORWOOD JUNCTION rail station and plenty of LOCAL AMENITIES. Enquire today for your earliest viewing appointment.</t>
        </is>
      </c>
      <c r="J324" t="inlineStr">
        <is>
          <t>https://www.rightmove.co.uk/properties/158615162#/?channel=RES_LET</t>
        </is>
      </c>
      <c r="K324" t="inlineStr">
        <is>
          <t>/property-to-rent/contactBranch.html?propertyId=158615162</t>
        </is>
      </c>
      <c r="L324" t="inlineStr">
        <is>
          <t>CKB Estate Agents, Eltham</t>
        </is>
      </c>
      <c r="M324" t="n">
        <v>186113</v>
      </c>
      <c r="N324" t="inlineStr">
        <is>
          <t>Reduced on 02/10/2025</t>
        </is>
      </c>
      <c r="O324" t="inlineStr">
        <is>
          <t>2025-02-24T11:06:43Z</t>
        </is>
      </c>
      <c r="Q324" t="inlineStr">
        <is>
          <t>SE25</t>
        </is>
      </c>
      <c r="R324" t="inlineStr">
        <is>
          <t>2025-10-16T17:42:31.747234</t>
        </is>
      </c>
      <c r="S324" t="inlineStr">
        <is>
          <t>{'let available date': 'Now', 'deposit': 'Ask agent', 'min. tenancy': '12 months', 'let type': 'Long term', 'furnish type': 'Unfurnished', 'council tax': 'Ask agent'}</t>
        </is>
      </c>
      <c r="V324" t="b">
        <v>1</v>
      </c>
      <c r="X324" t="n">
        <v>16.69</v>
      </c>
      <c r="Y324" t="n">
        <v>52.9</v>
      </c>
      <c r="Z324">
        <f>IF(AND(ISNUMBER(B324), ISNUMBER(MIN(B$2:B$486)), ISNUMBER(MAX(B$2:B$486))), IF(MAX(B$2:B$486)=MIN(B$2:B$486), 50, ROUND((MAX(B$2:B$486)-B324)/(MAX(B$2:B$486)-MIN(B$2:B$486))*100, 2)), "")</f>
        <v/>
      </c>
      <c r="AA324">
        <f>IF(AND(ISNUMBER(X324), ISNUMBER(MIN(X$2:X$486)), ISNUMBER(MAX(X$2:X$486))), IF(MAX(X$2:X$486)=MIN(X$2:X$486), 50, ROUND((MAX(X$2:X$486)-X324)/(MAX(X$2:X$486)-MIN(X$2:X$486))*100, 2)), "")</f>
        <v/>
      </c>
      <c r="AB324">
        <f>IF(AND(ISNUMBER(U324), ISNUMBER(MIN(U$2:U$486)), ISNUMBER(MAX(U$2:U$486))), IF(MAX(U$2:U$486)=MIN(U$2:U$486), 50, ROUND((U324-MIN(U$2:U$486))/(MAX(U$2:U$486)-MIN(U$2:U$486))*100, 2)), "")</f>
        <v/>
      </c>
      <c r="AC324">
        <f>IF(AND(ISNUMBER(Z324), ISNUMBER(AA324), ISNUMBER(AB324)), ROUND((Z324+AA324+AB324)/3, 2), "")</f>
        <v/>
      </c>
    </row>
    <row r="325">
      <c r="A325" t="n">
        <v>167087627</v>
      </c>
      <c r="B325" t="n">
        <v>1700</v>
      </c>
      <c r="C325" t="inlineStr">
        <is>
          <t>£1,700 pcm</t>
        </is>
      </c>
      <c r="D325" t="inlineStr">
        <is>
          <t>monthly</t>
        </is>
      </c>
      <c r="E325" t="inlineStr">
        <is>
          <t>Apartment</t>
        </is>
      </c>
      <c r="F325" t="n">
        <v>2</v>
      </c>
      <c r="G325" t="n">
        <v>1</v>
      </c>
      <c r="H325" t="inlineStr">
        <is>
          <t>Friern Park, North Finchley, N12</t>
        </is>
      </c>
      <c r="I325" t="inlineStr">
        <is>
          <t>COUNCIL TAX INCLUDED! Conveniently located minutes walk of North Finchley High Road shops and amenities, North Finchley 24 hour bus station and Woodside Park station is this two bedroom, top floor conversion flat. The property benefits from a spacious open plan kitchen reception room,...</t>
        </is>
      </c>
      <c r="J325" t="inlineStr">
        <is>
          <t>https://www.rightmove.co.uk/properties/167087627#/?channel=RES_LET</t>
        </is>
      </c>
      <c r="K325" t="inlineStr">
        <is>
          <t>/property-to-rent/contactBranch.html?propertyId=167087627</t>
        </is>
      </c>
      <c r="L325" t="inlineStr">
        <is>
          <t>Ellis &amp; Co, Finchley</t>
        </is>
      </c>
      <c r="M325" t="n">
        <v>7558</v>
      </c>
      <c r="N325" t="inlineStr">
        <is>
          <t>Reduced on 02/10/2025</t>
        </is>
      </c>
      <c r="O325" t="inlineStr">
        <is>
          <t>2025-09-17T11:32:46Z</t>
        </is>
      </c>
      <c r="Q325" t="inlineStr">
        <is>
          <t>N12</t>
        </is>
      </c>
      <c r="R325" t="inlineStr">
        <is>
          <t>2025-10-16T17:42:31.747237</t>
        </is>
      </c>
      <c r="S325" t="inlineStr">
        <is>
          <t>{'let available date': 'Now', 'deposit': '£1,961', 'min. tenancy': 'Ask agent', 'let type': 'Long term', 'furnish type': 'Unfurnished', 'council tax': 'Ask agent'}</t>
        </is>
      </c>
      <c r="V325" t="b">
        <v>1</v>
      </c>
      <c r="X325" t="n">
        <v>13.97</v>
      </c>
      <c r="Y325" t="n">
        <v>47.1</v>
      </c>
      <c r="Z325">
        <f>IF(AND(ISNUMBER(B325), ISNUMBER(MIN(B$2:B$486)), ISNUMBER(MAX(B$2:B$486))), IF(MAX(B$2:B$486)=MIN(B$2:B$486), 50, ROUND((MAX(B$2:B$486)-B325)/(MAX(B$2:B$486)-MIN(B$2:B$486))*100, 2)), "")</f>
        <v/>
      </c>
      <c r="AA325">
        <f>IF(AND(ISNUMBER(X325), ISNUMBER(MIN(X$2:X$486)), ISNUMBER(MAX(X$2:X$486))), IF(MAX(X$2:X$486)=MIN(X$2:X$486), 50, ROUND((MAX(X$2:X$486)-X325)/(MAX(X$2:X$486)-MIN(X$2:X$486))*100, 2)), "")</f>
        <v/>
      </c>
      <c r="AB325">
        <f>IF(AND(ISNUMBER(U325), ISNUMBER(MIN(U$2:U$486)), ISNUMBER(MAX(U$2:U$486))), IF(MAX(U$2:U$486)=MIN(U$2:U$486), 50, ROUND((U325-MIN(U$2:U$486))/(MAX(U$2:U$486)-MIN(U$2:U$486))*100, 2)), "")</f>
        <v/>
      </c>
      <c r="AC325">
        <f>IF(AND(ISNUMBER(Z325), ISNUMBER(AA325), ISNUMBER(AB325)), ROUND((Z325+AA325+AB325)/3, 2), "")</f>
        <v/>
      </c>
    </row>
    <row r="326">
      <c r="A326" t="n">
        <v>165642521</v>
      </c>
      <c r="B326" t="n">
        <v>1500</v>
      </c>
      <c r="C326" t="inlineStr">
        <is>
          <t>£1,500 pcm</t>
        </is>
      </c>
      <c r="D326" t="inlineStr">
        <is>
          <t>monthly</t>
        </is>
      </c>
      <c r="E326" t="inlineStr">
        <is>
          <t>Flat</t>
        </is>
      </c>
      <c r="F326" t="n">
        <v>2</v>
      </c>
      <c r="G326" t="n">
        <v>1</v>
      </c>
      <c r="H326" t="inlineStr">
        <is>
          <t>High Road, North Finchley, London</t>
        </is>
      </c>
      <c r="I326" t="inlineStr">
        <is>
          <t>Conveniently situated within a short commute to both East Finchley and Finchley Central tube stations lies this 1/2 bedroom 3rd floor flat above commercial premises. The property is presented in excellent condition throughout &amp; includes a open place kitchen / lounge, laminate flooring throughout,...</t>
        </is>
      </c>
      <c r="J326" t="inlineStr">
        <is>
          <t>https://www.rightmove.co.uk/properties/165642521#/?channel=RES_LET</t>
        </is>
      </c>
      <c r="K326" t="inlineStr">
        <is>
          <t>/property-to-rent/contactBranch.html?propertyId=165642521</t>
        </is>
      </c>
      <c r="L326" t="inlineStr">
        <is>
          <t>Simon Clarke, Finchley</t>
        </is>
      </c>
      <c r="M326" t="n">
        <v>32535</v>
      </c>
      <c r="N326" t="inlineStr">
        <is>
          <t>Added on 02/10/2025</t>
        </is>
      </c>
      <c r="O326" t="inlineStr">
        <is>
          <t>2025-08-12T10:38:28Z</t>
        </is>
      </c>
      <c r="R326" t="inlineStr">
        <is>
          <t>2025-10-16T17:42:31.747239</t>
        </is>
      </c>
      <c r="S326" t="inlineStr">
        <is>
          <t>{'let available date': 'Now', 'deposit': '£1,730', 'min. tenancy': 'Ask agent', 'let type': 'Long term', 'furnish type': 'Unfurnished', 'council tax': 'Ask agent'}</t>
        </is>
      </c>
      <c r="V326" t="b">
        <v>1</v>
      </c>
      <c r="X326" t="n">
        <v>13.55</v>
      </c>
      <c r="Y326" t="n">
        <v>45.5</v>
      </c>
      <c r="Z326">
        <f>IF(AND(ISNUMBER(B326), ISNUMBER(MIN(B$2:B$486)), ISNUMBER(MAX(B$2:B$486))), IF(MAX(B$2:B$486)=MIN(B$2:B$486), 50, ROUND((MAX(B$2:B$486)-B326)/(MAX(B$2:B$486)-MIN(B$2:B$486))*100, 2)), "")</f>
        <v/>
      </c>
      <c r="AA326">
        <f>IF(AND(ISNUMBER(X326), ISNUMBER(MIN(X$2:X$486)), ISNUMBER(MAX(X$2:X$486))), IF(MAX(X$2:X$486)=MIN(X$2:X$486), 50, ROUND((MAX(X$2:X$486)-X326)/(MAX(X$2:X$486)-MIN(X$2:X$486))*100, 2)), "")</f>
        <v/>
      </c>
      <c r="AB326">
        <f>IF(AND(ISNUMBER(U326), ISNUMBER(MIN(U$2:U$486)), ISNUMBER(MAX(U$2:U$486))), IF(MAX(U$2:U$486)=MIN(U$2:U$486), 50, ROUND((U326-MIN(U$2:U$486))/(MAX(U$2:U$486)-MIN(U$2:U$486))*100, 2)), "")</f>
        <v/>
      </c>
      <c r="AC326">
        <f>IF(AND(ISNUMBER(Z326), ISNUMBER(AA326), ISNUMBER(AB326)), ROUND((Z326+AA326+AB326)/3, 2), "")</f>
        <v/>
      </c>
    </row>
    <row r="327">
      <c r="A327" t="n">
        <v>166533800</v>
      </c>
      <c r="B327" t="n">
        <v>1650</v>
      </c>
      <c r="C327" t="inlineStr">
        <is>
          <t>£1,650 pcm</t>
        </is>
      </c>
      <c r="D327" t="inlineStr">
        <is>
          <t>monthly</t>
        </is>
      </c>
      <c r="E327" t="inlineStr">
        <is>
          <t>Maisonette</t>
        </is>
      </c>
      <c r="F327" t="n">
        <v>2</v>
      </c>
      <c r="G327" t="n">
        <v>1</v>
      </c>
      <c r="H327" t="inlineStr">
        <is>
          <t>Connaught Gardens, Morden, Surrey, SM4</t>
        </is>
      </c>
      <c r="I327" t="inlineStr">
        <is>
          <t xml:space="preserve"> Spacious 2-Bedroom First Floor Maisonette with Parking Available from 5th November 2025 – Unfurnished. This well-presented two-bedroom first-floor maisonette offers comfortable living in a highly sought-after location near Morden Underground Station, bus routes...</t>
        </is>
      </c>
      <c r="J327" t="inlineStr">
        <is>
          <t>https://www.rightmove.co.uk/properties/166533800#/?channel=RES_LET</t>
        </is>
      </c>
      <c r="K327" t="inlineStr">
        <is>
          <t>/property-to-rent/contactBranch.html?propertyId=166533800</t>
        </is>
      </c>
      <c r="L327" t="inlineStr">
        <is>
          <t>Goodfellows, Morden - Lettings</t>
        </is>
      </c>
      <c r="M327" t="n">
        <v>8972</v>
      </c>
      <c r="N327" t="inlineStr">
        <is>
          <t>Reduced on 02/10/2025</t>
        </is>
      </c>
      <c r="O327" t="inlineStr">
        <is>
          <t>2025-09-03T12:51:12Z</t>
        </is>
      </c>
      <c r="Q327" t="inlineStr">
        <is>
          <t>SM4</t>
        </is>
      </c>
      <c r="R327" t="inlineStr">
        <is>
          <t>2025-10-16T17:42:31.747242</t>
        </is>
      </c>
      <c r="S327" t="inlineStr">
        <is>
          <t>{'let available date': '05/11/2025', 'deposit': '£1,903', 'min. tenancy': 'Ask agent', 'let type': 'Long term', 'furnish type': 'Unfurnished', 'council tax': 'Ask agent'}</t>
        </is>
      </c>
      <c r="V327" t="b">
        <v>1</v>
      </c>
      <c r="X327" t="n">
        <v>17.73</v>
      </c>
      <c r="Y327" t="n">
        <v>58.1</v>
      </c>
      <c r="Z327">
        <f>IF(AND(ISNUMBER(B327), ISNUMBER(MIN(B$2:B$486)), ISNUMBER(MAX(B$2:B$486))), IF(MAX(B$2:B$486)=MIN(B$2:B$486), 50, ROUND((MAX(B$2:B$486)-B327)/(MAX(B$2:B$486)-MIN(B$2:B$486))*100, 2)), "")</f>
        <v/>
      </c>
      <c r="AA327">
        <f>IF(AND(ISNUMBER(X327), ISNUMBER(MIN(X$2:X$486)), ISNUMBER(MAX(X$2:X$486))), IF(MAX(X$2:X$486)=MIN(X$2:X$486), 50, ROUND((MAX(X$2:X$486)-X327)/(MAX(X$2:X$486)-MIN(X$2:X$486))*100, 2)), "")</f>
        <v/>
      </c>
      <c r="AB327">
        <f>IF(AND(ISNUMBER(U327), ISNUMBER(MIN(U$2:U$486)), ISNUMBER(MAX(U$2:U$486))), IF(MAX(U$2:U$486)=MIN(U$2:U$486), 50, ROUND((U327-MIN(U$2:U$486))/(MAX(U$2:U$486)-MIN(U$2:U$486))*100, 2)), "")</f>
        <v/>
      </c>
      <c r="AC327">
        <f>IF(AND(ISNUMBER(Z327), ISNUMBER(AA327), ISNUMBER(AB327)), ROUND((Z327+AA327+AB327)/3, 2), "")</f>
        <v/>
      </c>
    </row>
    <row r="328">
      <c r="A328" t="n">
        <v>166650974</v>
      </c>
      <c r="B328" t="n">
        <v>1750</v>
      </c>
      <c r="C328" t="inlineStr">
        <is>
          <t>£1,750 pcm</t>
        </is>
      </c>
      <c r="D328" t="inlineStr">
        <is>
          <t>monthly</t>
        </is>
      </c>
      <c r="E328" t="inlineStr">
        <is>
          <t>Flat</t>
        </is>
      </c>
      <c r="F328" t="n">
        <v>2</v>
      </c>
      <c r="G328" t="n">
        <v>2</v>
      </c>
      <c r="H328" t="inlineStr">
        <is>
          <t>Eversleigh Road, Finchley Central, N3</t>
        </is>
      </c>
      <c r="I328" t="inlineStr">
        <is>
          <t>Finchleys are pleased to offer this top floor 2 bed / 2 bath conversion located in the heart of West Finchley &amp; Finchley Central with both tube stations within a 10 min walk away. The property benefits from two good sized double bedrooms (main bedroom with en-suite), double glazing and...</t>
        </is>
      </c>
      <c r="J328" t="inlineStr">
        <is>
          <t>https://www.rightmove.co.uk/properties/166650974#/?channel=RES_LET</t>
        </is>
      </c>
      <c r="K328" t="inlineStr">
        <is>
          <t>/property-to-rent/contactBranch.html?propertyId=166650974</t>
        </is>
      </c>
      <c r="L328" t="inlineStr">
        <is>
          <t>Finchleys, Finchley</t>
        </is>
      </c>
      <c r="M328" t="n">
        <v>49962</v>
      </c>
      <c r="N328" t="inlineStr">
        <is>
          <t>Added on 05/09/2025</t>
        </is>
      </c>
      <c r="O328" t="inlineStr">
        <is>
          <t>2025-09-05T16:51:44Z</t>
        </is>
      </c>
      <c r="Q328" t="inlineStr">
        <is>
          <t>N3</t>
        </is>
      </c>
      <c r="R328" t="inlineStr">
        <is>
          <t>2025-10-16T17:42:31.747245</t>
        </is>
      </c>
      <c r="S328" t="inlineStr">
        <is>
          <t>{'let available date': 'Now', 'deposit': '£2,019', 'min. tenancy': 'Ask agent', 'let type': 'Long term', 'furnish type': 'Unfurnished', 'council tax': 'Ask agent'}</t>
        </is>
      </c>
      <c r="V328" t="b">
        <v>1</v>
      </c>
      <c r="X328" t="n">
        <v>13.41</v>
      </c>
      <c r="Y328" t="n">
        <v>45.8</v>
      </c>
      <c r="Z328">
        <f>IF(AND(ISNUMBER(B328), ISNUMBER(MIN(B$2:B$486)), ISNUMBER(MAX(B$2:B$486))), IF(MAX(B$2:B$486)=MIN(B$2:B$486), 50, ROUND((MAX(B$2:B$486)-B328)/(MAX(B$2:B$486)-MIN(B$2:B$486))*100, 2)), "")</f>
        <v/>
      </c>
      <c r="AA328">
        <f>IF(AND(ISNUMBER(X328), ISNUMBER(MIN(X$2:X$486)), ISNUMBER(MAX(X$2:X$486))), IF(MAX(X$2:X$486)=MIN(X$2:X$486), 50, ROUND((MAX(X$2:X$486)-X328)/(MAX(X$2:X$486)-MIN(X$2:X$486))*100, 2)), "")</f>
        <v/>
      </c>
      <c r="AB328">
        <f>IF(AND(ISNUMBER(U328), ISNUMBER(MIN(U$2:U$486)), ISNUMBER(MAX(U$2:U$486))), IF(MAX(U$2:U$486)=MIN(U$2:U$486), 50, ROUND((U328-MIN(U$2:U$486))/(MAX(U$2:U$486)-MIN(U$2:U$486))*100, 2)), "")</f>
        <v/>
      </c>
      <c r="AC328">
        <f>IF(AND(ISNUMBER(Z328), ISNUMBER(AA328), ISNUMBER(AB328)), ROUND((Z328+AA328+AB328)/3, 2), "")</f>
        <v/>
      </c>
    </row>
    <row r="329">
      <c r="A329" t="n">
        <v>166864766</v>
      </c>
      <c r="B329" t="n">
        <v>1500</v>
      </c>
      <c r="C329" t="inlineStr">
        <is>
          <t>£1,500 pcm</t>
        </is>
      </c>
      <c r="D329" t="inlineStr">
        <is>
          <t>monthly</t>
        </is>
      </c>
      <c r="E329" t="inlineStr">
        <is>
          <t>Flat</t>
        </is>
      </c>
      <c r="F329" t="n">
        <v>2</v>
      </c>
      <c r="G329" t="n">
        <v>1</v>
      </c>
      <c r="H329" t="inlineStr">
        <is>
          <t>Baizdon Road, London, SE3</t>
        </is>
      </c>
      <c r="I329" t="inlineStr">
        <is>
          <t>"Cosy 2-bed flat in prime location. Bright living space, separate kitchen, private balcony. Residents' permit parking. EPC rating C (71), council tax band C.</t>
        </is>
      </c>
      <c r="J329" t="inlineStr">
        <is>
          <t>https://www.rightmove.co.uk/properties/166864766#/?channel=RES_LET</t>
        </is>
      </c>
      <c r="K329" t="inlineStr">
        <is>
          <t>/property-to-rent/contactBranch.html?propertyId=166864766</t>
        </is>
      </c>
      <c r="L329" t="inlineStr">
        <is>
          <t>Kallars, London</t>
        </is>
      </c>
      <c r="M329" t="n">
        <v>289823</v>
      </c>
      <c r="N329" t="inlineStr">
        <is>
          <t>Reduced on 02/10/2025</t>
        </is>
      </c>
      <c r="O329" t="inlineStr">
        <is>
          <t>2025-09-11T10:42:12Z</t>
        </is>
      </c>
      <c r="Q329" t="inlineStr">
        <is>
          <t>SE3</t>
        </is>
      </c>
      <c r="R329" t="inlineStr">
        <is>
          <t>2025-10-16T17:42:31.747247</t>
        </is>
      </c>
      <c r="S329" t="inlineStr">
        <is>
          <t>{'let available date': 'Now', 'deposit': '£1,730', 'min. tenancy': '12 months', 'let type': 'Long term', 'furnish type': 'Part furnished', 'council tax': 'Ask agent'}</t>
        </is>
      </c>
      <c r="T329" t="n">
        <v>667</v>
      </c>
      <c r="U329" t="n">
        <v>62</v>
      </c>
      <c r="V329" t="b">
        <v>1</v>
      </c>
      <c r="X329" t="n">
        <v>19.42</v>
      </c>
      <c r="Y329" t="n">
        <v>50.5</v>
      </c>
      <c r="Z329">
        <f>IF(AND(ISNUMBER(B329), ISNUMBER(MIN(B$2:B$486)), ISNUMBER(MAX(B$2:B$486))), IF(MAX(B$2:B$486)=MIN(B$2:B$486), 50, ROUND((MAX(B$2:B$486)-B329)/(MAX(B$2:B$486)-MIN(B$2:B$486))*100, 2)), "")</f>
        <v/>
      </c>
      <c r="AA329">
        <f>IF(AND(ISNUMBER(X329), ISNUMBER(MIN(X$2:X$486)), ISNUMBER(MAX(X$2:X$486))), IF(MAX(X$2:X$486)=MIN(X$2:X$486), 50, ROUND((MAX(X$2:X$486)-X329)/(MAX(X$2:X$486)-MIN(X$2:X$486))*100, 2)), "")</f>
        <v/>
      </c>
      <c r="AB329">
        <f>IF(AND(ISNUMBER(U329), ISNUMBER(MIN(U$2:U$486)), ISNUMBER(MAX(U$2:U$486))), IF(MAX(U$2:U$486)=MIN(U$2:U$486), 50, ROUND((U329-MIN(U$2:U$486))/(MAX(U$2:U$486)-MIN(U$2:U$486))*100, 2)), "")</f>
        <v/>
      </c>
      <c r="AC329">
        <f>IF(AND(ISNUMBER(Z329), ISNUMBER(AA329), ISNUMBER(AB329)), ROUND((Z329+AA329+AB329)/3, 2), "")</f>
        <v/>
      </c>
    </row>
    <row r="330">
      <c r="A330" t="n">
        <v>167685755</v>
      </c>
      <c r="B330" t="n">
        <v>1650</v>
      </c>
      <c r="C330" t="inlineStr">
        <is>
          <t>£1,650 pcm</t>
        </is>
      </c>
      <c r="D330" t="inlineStr">
        <is>
          <t>monthly</t>
        </is>
      </c>
      <c r="E330" t="inlineStr">
        <is>
          <t>Apartment</t>
        </is>
      </c>
      <c r="F330" t="n">
        <v>2</v>
      </c>
      <c r="G330" t="n">
        <v>1</v>
      </c>
      <c r="H330" t="inlineStr">
        <is>
          <t>Beaver Close, MORDEN</t>
        </is>
      </c>
      <c r="I330" t="inlineStr">
        <is>
          <t>This fantastic two-bedroom flat on the first floor is ideally located, offering convenient access to Worcester Park Station, Raynes Park Station, Motspur Park Station, and St. Helier Station, all providing connections to London.</t>
        </is>
      </c>
      <c r="J330" t="inlineStr">
        <is>
          <t>https://www.rightmove.co.uk/properties/167685755#/?channel=RES_LET</t>
        </is>
      </c>
      <c r="K330" t="inlineStr">
        <is>
          <t>/property-to-rent/contactBranch.html?propertyId=167685755</t>
        </is>
      </c>
      <c r="L330" t="inlineStr">
        <is>
          <t>Barnard Marcus Lettings, Morden Lettings</t>
        </is>
      </c>
      <c r="M330" t="n">
        <v>66783</v>
      </c>
      <c r="N330" t="inlineStr">
        <is>
          <t>Added on 01/10/2025</t>
        </is>
      </c>
      <c r="O330" t="inlineStr">
        <is>
          <t>2025-10-01T18:13:04Z</t>
        </is>
      </c>
      <c r="R330" t="inlineStr">
        <is>
          <t>2025-10-16T17:42:31.747250</t>
        </is>
      </c>
      <c r="S330" t="inlineStr">
        <is>
          <t>{'let available date': '28/10/2025', 'deposit': '£1,903', 'min. tenancy': '12 months', 'let type': 'Long term', 'furnish type': 'Unfurnished', 'council tax': 'Ask agent'}</t>
        </is>
      </c>
      <c r="V330" t="b">
        <v>1</v>
      </c>
      <c r="X330" t="n">
        <v>21.91</v>
      </c>
      <c r="Y330" t="n">
        <v>59.1</v>
      </c>
      <c r="Z330">
        <f>IF(AND(ISNUMBER(B330), ISNUMBER(MIN(B$2:B$486)), ISNUMBER(MAX(B$2:B$486))), IF(MAX(B$2:B$486)=MIN(B$2:B$486), 50, ROUND((MAX(B$2:B$486)-B330)/(MAX(B$2:B$486)-MIN(B$2:B$486))*100, 2)), "")</f>
        <v/>
      </c>
      <c r="AA330">
        <f>IF(AND(ISNUMBER(X330), ISNUMBER(MIN(X$2:X$486)), ISNUMBER(MAX(X$2:X$486))), IF(MAX(X$2:X$486)=MIN(X$2:X$486), 50, ROUND((MAX(X$2:X$486)-X330)/(MAX(X$2:X$486)-MIN(X$2:X$486))*100, 2)), "")</f>
        <v/>
      </c>
      <c r="AB330">
        <f>IF(AND(ISNUMBER(U330), ISNUMBER(MIN(U$2:U$486)), ISNUMBER(MAX(U$2:U$486))), IF(MAX(U$2:U$486)=MIN(U$2:U$486), 50, ROUND((U330-MIN(U$2:U$486))/(MAX(U$2:U$486)-MIN(U$2:U$486))*100, 2)), "")</f>
        <v/>
      </c>
      <c r="AC330">
        <f>IF(AND(ISNUMBER(Z330), ISNUMBER(AA330), ISNUMBER(AB330)), ROUND((Z330+AA330+AB330)/3, 2), "")</f>
        <v/>
      </c>
    </row>
    <row r="331">
      <c r="A331" t="n">
        <v>167036498</v>
      </c>
      <c r="B331" t="n">
        <v>1750</v>
      </c>
      <c r="C331" t="inlineStr">
        <is>
          <t>£1,750 pcm</t>
        </is>
      </c>
      <c r="D331" t="inlineStr">
        <is>
          <t>monthly</t>
        </is>
      </c>
      <c r="E331" t="inlineStr">
        <is>
          <t>Flat</t>
        </is>
      </c>
      <c r="F331" t="n">
        <v>2</v>
      </c>
      <c r="G331" t="n">
        <v>1</v>
      </c>
      <c r="H331" t="inlineStr">
        <is>
          <t>Church Road, E10 5JU</t>
        </is>
      </c>
      <c r="I331" t="inlineStr">
        <is>
          <t>** Zero Deposit Guarantee Available **
Second Floor Flat with Two Double Bedrooms, New Flooring, Secure Communal Garden, Allocated parking, Unfurnished</t>
        </is>
      </c>
      <c r="J331" t="inlineStr">
        <is>
          <t>https://www.rightmove.co.uk/properties/167036498#/?channel=RES_LET</t>
        </is>
      </c>
      <c r="K331" t="inlineStr">
        <is>
          <t>/property-to-rent/contactBranch.html?propertyId=167036498</t>
        </is>
      </c>
      <c r="L331" t="inlineStr">
        <is>
          <t>Bairstow Eves Lettings, Leytonstone</t>
        </is>
      </c>
      <c r="M331" t="n">
        <v>11308</v>
      </c>
      <c r="N331" t="inlineStr">
        <is>
          <t>Reduced on 01/10/2025</t>
        </is>
      </c>
      <c r="O331" t="inlineStr">
        <is>
          <t>2025-09-16T10:43:19Z</t>
        </is>
      </c>
      <c r="Q331" t="inlineStr">
        <is>
          <t>E10</t>
        </is>
      </c>
      <c r="R331" t="inlineStr">
        <is>
          <t>2025-10-16T17:42:31.747252</t>
        </is>
      </c>
      <c r="S331" t="inlineStr">
        <is>
          <t>{'let available date': 'Now', 'deposit': '£2,019', 'min. tenancy': 'Ask agent', 'let type': 'Long term', 'furnish type': 'Unfurnished', 'council tax': 'Ask agent'}</t>
        </is>
      </c>
      <c r="V331" t="b">
        <v>1</v>
      </c>
      <c r="X331" t="n">
        <v>12.31</v>
      </c>
      <c r="Y331" t="n">
        <v>49.3</v>
      </c>
      <c r="Z331">
        <f>IF(AND(ISNUMBER(B331), ISNUMBER(MIN(B$2:B$486)), ISNUMBER(MAX(B$2:B$486))), IF(MAX(B$2:B$486)=MIN(B$2:B$486), 50, ROUND((MAX(B$2:B$486)-B331)/(MAX(B$2:B$486)-MIN(B$2:B$486))*100, 2)), "")</f>
        <v/>
      </c>
      <c r="AA331">
        <f>IF(AND(ISNUMBER(X331), ISNUMBER(MIN(X$2:X$486)), ISNUMBER(MAX(X$2:X$486))), IF(MAX(X$2:X$486)=MIN(X$2:X$486), 50, ROUND((MAX(X$2:X$486)-X331)/(MAX(X$2:X$486)-MIN(X$2:X$486))*100, 2)), "")</f>
        <v/>
      </c>
      <c r="AB331">
        <f>IF(AND(ISNUMBER(U331), ISNUMBER(MIN(U$2:U$486)), ISNUMBER(MAX(U$2:U$486))), IF(MAX(U$2:U$486)=MIN(U$2:U$486), 50, ROUND((U331-MIN(U$2:U$486))/(MAX(U$2:U$486)-MIN(U$2:U$486))*100, 2)), "")</f>
        <v/>
      </c>
      <c r="AC331">
        <f>IF(AND(ISNUMBER(Z331), ISNUMBER(AA331), ISNUMBER(AB331)), ROUND((Z331+AA331+AB331)/3, 2), "")</f>
        <v/>
      </c>
    </row>
    <row r="332">
      <c r="A332" t="n">
        <v>167683415</v>
      </c>
      <c r="B332" t="n">
        <v>1750</v>
      </c>
      <c r="C332" t="inlineStr">
        <is>
          <t>£1,750 pcm</t>
        </is>
      </c>
      <c r="D332" t="inlineStr">
        <is>
          <t>monthly</t>
        </is>
      </c>
      <c r="E332" t="inlineStr">
        <is>
          <t>Maisonette</t>
        </is>
      </c>
      <c r="F332" t="n">
        <v>2</v>
      </c>
      <c r="G332" t="n">
        <v>1</v>
      </c>
      <c r="H332" t="inlineStr">
        <is>
          <t>Mersham Road, Thornton Heath, CR7</t>
        </is>
      </c>
      <c r="I332" t="inlineStr">
        <is>
          <t>A charming 2 bedroom maisonette in a sought-after location. This beautiful property boasts a modern and well maintained interior, perfect for those seeking a comfortable and convenient living space.</t>
        </is>
      </c>
      <c r="J332" t="inlineStr">
        <is>
          <t>https://www.rightmove.co.uk/properties/167683415#/?channel=RES_LET</t>
        </is>
      </c>
      <c r="K332" t="inlineStr">
        <is>
          <t>/property-to-rent/contactBranch.html?propertyId=167683415</t>
        </is>
      </c>
      <c r="L332" t="inlineStr">
        <is>
          <t>Kinleigh Folkard &amp; Hayward - Lettings, Crystal Palace</t>
        </is>
      </c>
      <c r="M332" t="n">
        <v>85706</v>
      </c>
      <c r="N332" t="inlineStr">
        <is>
          <t>Added on 01/10/2025</t>
        </is>
      </c>
      <c r="O332" t="inlineStr">
        <is>
          <t>2025-10-01T17:23:25Z</t>
        </is>
      </c>
      <c r="Q332" t="inlineStr">
        <is>
          <t>CR7</t>
        </is>
      </c>
      <c r="R332" t="inlineStr">
        <is>
          <t>2025-10-16T17:42:31.747255</t>
        </is>
      </c>
      <c r="S332" t="inlineStr">
        <is>
          <t>{'let available date': 'Now', 'deposit': '£2,019', 'min. tenancy': '12 months', 'let type': 'Long term', 'furnish type': 'Ask agent', 'council tax': 'Ask agent'}</t>
        </is>
      </c>
      <c r="V332" t="b">
        <v>1</v>
      </c>
      <c r="X332" t="n">
        <v>15.49</v>
      </c>
      <c r="Y332" t="n">
        <v>50.8</v>
      </c>
      <c r="Z332">
        <f>IF(AND(ISNUMBER(B332), ISNUMBER(MIN(B$2:B$486)), ISNUMBER(MAX(B$2:B$486))), IF(MAX(B$2:B$486)=MIN(B$2:B$486), 50, ROUND((MAX(B$2:B$486)-B332)/(MAX(B$2:B$486)-MIN(B$2:B$486))*100, 2)), "")</f>
        <v/>
      </c>
      <c r="AA332">
        <f>IF(AND(ISNUMBER(X332), ISNUMBER(MIN(X$2:X$486)), ISNUMBER(MAX(X$2:X$486))), IF(MAX(X$2:X$486)=MIN(X$2:X$486), 50, ROUND((MAX(X$2:X$486)-X332)/(MAX(X$2:X$486)-MIN(X$2:X$486))*100, 2)), "")</f>
        <v/>
      </c>
      <c r="AB332">
        <f>IF(AND(ISNUMBER(U332), ISNUMBER(MIN(U$2:U$486)), ISNUMBER(MAX(U$2:U$486))), IF(MAX(U$2:U$486)=MIN(U$2:U$486), 50, ROUND((U332-MIN(U$2:U$486))/(MAX(U$2:U$486)-MIN(U$2:U$486))*100, 2)), "")</f>
        <v/>
      </c>
      <c r="AC332">
        <f>IF(AND(ISNUMBER(Z332), ISNUMBER(AA332), ISNUMBER(AB332)), ROUND((Z332+AA332+AB332)/3, 2), "")</f>
        <v/>
      </c>
    </row>
    <row r="333">
      <c r="A333" t="n">
        <v>167682995</v>
      </c>
      <c r="B333" t="n">
        <v>1500</v>
      </c>
      <c r="C333" t="inlineStr">
        <is>
          <t>£1,500 pcm</t>
        </is>
      </c>
      <c r="D333" t="inlineStr">
        <is>
          <t>monthly</t>
        </is>
      </c>
      <c r="E333" t="inlineStr">
        <is>
          <t>Apartment</t>
        </is>
      </c>
      <c r="F333" t="n">
        <v>2</v>
      </c>
      <c r="G333" t="n">
        <v>1</v>
      </c>
      <c r="H333" t="inlineStr">
        <is>
          <t>Mount Pleasant Road, Tottenham, N17</t>
        </is>
      </c>
      <c r="I333" t="inlineStr">
        <is>
          <t>Nestled Tottenham, this first-floor apartment at Mount Pleasant Road offers two bedrooms (One double and one single bedroom), this property is perfect for individuals or small families or couples. The apartment features a well-appointed reception room, providing an inviting space for relaxation o...</t>
        </is>
      </c>
      <c r="J333" t="inlineStr">
        <is>
          <t>https://www.rightmove.co.uk/properties/167682995#/?channel=RES_LET</t>
        </is>
      </c>
      <c r="K333" t="inlineStr">
        <is>
          <t>/property-to-rent/contactBranch.html?propertyId=167682995</t>
        </is>
      </c>
      <c r="L333" t="inlineStr">
        <is>
          <t>Hemmingfords, London</t>
        </is>
      </c>
      <c r="M333" t="n">
        <v>201083</v>
      </c>
      <c r="N333" t="inlineStr">
        <is>
          <t>Added on 01/10/2025</t>
        </is>
      </c>
      <c r="O333" t="inlineStr">
        <is>
          <t>2025-10-01T17:17:55Z</t>
        </is>
      </c>
      <c r="Q333" t="inlineStr">
        <is>
          <t>N17</t>
        </is>
      </c>
      <c r="R333" t="inlineStr">
        <is>
          <t>2025-10-16T17:42:31.747257</t>
        </is>
      </c>
      <c r="S333" t="inlineStr">
        <is>
          <t>{'let available date': '17/10/2025', 'deposit': '£1,730', 'min. tenancy': 'Ask agent', 'let type': 'Long term', 'furnish type': 'Furnished or unfurnished, landlord is flexible', 'council tax': 'Ask agent'}</t>
        </is>
      </c>
      <c r="V333" t="b">
        <v>1</v>
      </c>
      <c r="X333" t="n">
        <v>13.06</v>
      </c>
      <c r="Y333" t="n">
        <v>48</v>
      </c>
      <c r="Z333">
        <f>IF(AND(ISNUMBER(B333), ISNUMBER(MIN(B$2:B$486)), ISNUMBER(MAX(B$2:B$486))), IF(MAX(B$2:B$486)=MIN(B$2:B$486), 50, ROUND((MAX(B$2:B$486)-B333)/(MAX(B$2:B$486)-MIN(B$2:B$486))*100, 2)), "")</f>
        <v/>
      </c>
      <c r="AA333">
        <f>IF(AND(ISNUMBER(X333), ISNUMBER(MIN(X$2:X$486)), ISNUMBER(MAX(X$2:X$486))), IF(MAX(X$2:X$486)=MIN(X$2:X$486), 50, ROUND((MAX(X$2:X$486)-X333)/(MAX(X$2:X$486)-MIN(X$2:X$486))*100, 2)), "")</f>
        <v/>
      </c>
      <c r="AB333">
        <f>IF(AND(ISNUMBER(U333), ISNUMBER(MIN(U$2:U$486)), ISNUMBER(MAX(U$2:U$486))), IF(MAX(U$2:U$486)=MIN(U$2:U$486), 50, ROUND((U333-MIN(U$2:U$486))/(MAX(U$2:U$486)-MIN(U$2:U$486))*100, 2)), "")</f>
        <v/>
      </c>
      <c r="AC333">
        <f>IF(AND(ISNUMBER(Z333), ISNUMBER(AA333), ISNUMBER(AB333)), ROUND((Z333+AA333+AB333)/3, 2), "")</f>
        <v/>
      </c>
    </row>
    <row r="334">
      <c r="A334" t="n">
        <v>167682434</v>
      </c>
      <c r="B334" t="n">
        <v>1750</v>
      </c>
      <c r="C334" t="inlineStr">
        <is>
          <t>£1,750 pcm</t>
        </is>
      </c>
      <c r="D334" t="inlineStr">
        <is>
          <t>monthly</t>
        </is>
      </c>
      <c r="E334" t="inlineStr">
        <is>
          <t>Flat</t>
        </is>
      </c>
      <c r="F334" t="n">
        <v>2</v>
      </c>
      <c r="G334" t="n">
        <v>1</v>
      </c>
      <c r="H334" t="inlineStr">
        <is>
          <t>Lewisham Hill, Lewisham, SE13</t>
        </is>
      </c>
      <c r="I334" t="inlineStr">
        <is>
          <t>A lovely bright and spacious two bedroom first floor conversion in super location just off the open heath and within easy walking distance to Lewisham mainline and DLR Stations. Accommodation comprises good size lounge/diner open plan to well fitted modern kitchen, double bedroom and second singl...</t>
        </is>
      </c>
      <c r="J334" t="inlineStr">
        <is>
          <t>https://www.rightmove.co.uk/properties/167682434#/?channel=RES_LET</t>
        </is>
      </c>
      <c r="K334" t="inlineStr">
        <is>
          <t>/property-to-rent/contactBranch.html?propertyId=167682434</t>
        </is>
      </c>
      <c r="L334" t="inlineStr">
        <is>
          <t>Heath Estates, Blackheath</t>
        </is>
      </c>
      <c r="M334" t="n">
        <v>64511</v>
      </c>
      <c r="N334" t="inlineStr">
        <is>
          <t>Added on 01/10/2025</t>
        </is>
      </c>
      <c r="O334" t="inlineStr">
        <is>
          <t>2025-10-01T17:11:43Z</t>
        </is>
      </c>
      <c r="Q334" t="inlineStr">
        <is>
          <t>SE13</t>
        </is>
      </c>
      <c r="R334" t="inlineStr">
        <is>
          <t>2025-10-16T17:42:31.747260</t>
        </is>
      </c>
      <c r="S334" t="inlineStr">
        <is>
          <t>{'let available date': 'Now', 'deposit': '£1,135', 'min. tenancy': '12 months', 'let type': 'Long term', 'furnish type': 'Unfurnished', 'council tax': 'Ask agent'}</t>
        </is>
      </c>
      <c r="V334" t="b">
        <v>1</v>
      </c>
      <c r="X334" t="n">
        <v>12.97</v>
      </c>
      <c r="Y334" t="n">
        <v>49.8</v>
      </c>
      <c r="Z334">
        <f>IF(AND(ISNUMBER(B334), ISNUMBER(MIN(B$2:B$486)), ISNUMBER(MAX(B$2:B$486))), IF(MAX(B$2:B$486)=MIN(B$2:B$486), 50, ROUND((MAX(B$2:B$486)-B334)/(MAX(B$2:B$486)-MIN(B$2:B$486))*100, 2)), "")</f>
        <v/>
      </c>
      <c r="AA334">
        <f>IF(AND(ISNUMBER(X334), ISNUMBER(MIN(X$2:X$486)), ISNUMBER(MAX(X$2:X$486))), IF(MAX(X$2:X$486)=MIN(X$2:X$486), 50, ROUND((MAX(X$2:X$486)-X334)/(MAX(X$2:X$486)-MIN(X$2:X$486))*100, 2)), "")</f>
        <v/>
      </c>
      <c r="AB334">
        <f>IF(AND(ISNUMBER(U334), ISNUMBER(MIN(U$2:U$486)), ISNUMBER(MAX(U$2:U$486))), IF(MAX(U$2:U$486)=MIN(U$2:U$486), 50, ROUND((U334-MIN(U$2:U$486))/(MAX(U$2:U$486)-MIN(U$2:U$486))*100, 2)), "")</f>
        <v/>
      </c>
      <c r="AC334">
        <f>IF(AND(ISNUMBER(Z334), ISNUMBER(AA334), ISNUMBER(AB334)), ROUND((Z334+AA334+AB334)/3, 2), "")</f>
        <v/>
      </c>
    </row>
    <row r="335">
      <c r="A335" t="n">
        <v>167674775</v>
      </c>
      <c r="B335" t="n">
        <v>1675</v>
      </c>
      <c r="C335" t="inlineStr">
        <is>
          <t>£1,675 pcm</t>
        </is>
      </c>
      <c r="D335" t="inlineStr">
        <is>
          <t>monthly</t>
        </is>
      </c>
      <c r="E335" t="inlineStr">
        <is>
          <t>Apartment</t>
        </is>
      </c>
      <c r="F335" t="n">
        <v>2</v>
      </c>
      <c r="G335" t="n">
        <v>2</v>
      </c>
      <c r="H335" t="inlineStr">
        <is>
          <t>Bedford Close, London, N10</t>
        </is>
      </c>
      <c r="I335" t="inlineStr">
        <is>
          <t>Well-presented 2 bedroom ground floor flat on Bedford Close, N10. Situated in a quiet residential cul-de-sac, this property offers bright, practical interiors and comfortable living. Key FeaturesTwo bedroomsGround floor flatSpacious reception roomSeparate fitted kitchenBathroom with bath and show...</t>
        </is>
      </c>
      <c r="J335" t="inlineStr">
        <is>
          <t>https://www.rightmove.co.uk/properties/167674775#/?channel=RES_LET</t>
        </is>
      </c>
      <c r="K335" t="inlineStr">
        <is>
          <t>/property-to-rent/contactBranch.html?propertyId=167674775</t>
        </is>
      </c>
      <c r="L335" t="inlineStr">
        <is>
          <t>Hello Neighbour, London</t>
        </is>
      </c>
      <c r="M335" t="n">
        <v>221711</v>
      </c>
      <c r="N335" t="inlineStr">
        <is>
          <t>Added on 01/10/2025</t>
        </is>
      </c>
      <c r="O335" t="inlineStr">
        <is>
          <t>2025-10-01T15:48:07Z</t>
        </is>
      </c>
      <c r="Q335" t="inlineStr">
        <is>
          <t>N10</t>
        </is>
      </c>
      <c r="R335" t="inlineStr">
        <is>
          <t>2025-10-16T17:42:31.747262</t>
        </is>
      </c>
      <c r="S335" t="inlineStr">
        <is>
          <t>{'let available date': 'Now', 'deposit': '£1,932', 'min. tenancy': '12 months', 'let type': 'Long term', 'furnish type': 'Furnished or unfurnished, landlord is flexible', 'council tax': 'Ask agent'}</t>
        </is>
      </c>
      <c r="T335" t="n">
        <v>570</v>
      </c>
      <c r="U335" t="n">
        <v>53</v>
      </c>
      <c r="V335" t="b">
        <v>1</v>
      </c>
      <c r="X335" t="n">
        <v>11.21</v>
      </c>
      <c r="Y335" t="n">
        <v>42.9</v>
      </c>
      <c r="Z335">
        <f>IF(AND(ISNUMBER(B335), ISNUMBER(MIN(B$2:B$486)), ISNUMBER(MAX(B$2:B$486))), IF(MAX(B$2:B$486)=MIN(B$2:B$486), 50, ROUND((MAX(B$2:B$486)-B335)/(MAX(B$2:B$486)-MIN(B$2:B$486))*100, 2)), "")</f>
        <v/>
      </c>
      <c r="AA335">
        <f>IF(AND(ISNUMBER(X335), ISNUMBER(MIN(X$2:X$486)), ISNUMBER(MAX(X$2:X$486))), IF(MAX(X$2:X$486)=MIN(X$2:X$486), 50, ROUND((MAX(X$2:X$486)-X335)/(MAX(X$2:X$486)-MIN(X$2:X$486))*100, 2)), "")</f>
        <v/>
      </c>
      <c r="AB335">
        <f>IF(AND(ISNUMBER(U335), ISNUMBER(MIN(U$2:U$486)), ISNUMBER(MAX(U$2:U$486))), IF(MAX(U$2:U$486)=MIN(U$2:U$486), 50, ROUND((U335-MIN(U$2:U$486))/(MAX(U$2:U$486)-MIN(U$2:U$486))*100, 2)), "")</f>
        <v/>
      </c>
      <c r="AC335">
        <f>IF(AND(ISNUMBER(Z335), ISNUMBER(AA335), ISNUMBER(AB335)), ROUND((Z335+AA335+AB335)/3, 2), "")</f>
        <v/>
      </c>
    </row>
    <row r="336">
      <c r="A336" t="n">
        <v>167673929</v>
      </c>
      <c r="B336" t="n">
        <v>1750</v>
      </c>
      <c r="C336" t="inlineStr">
        <is>
          <t>£1,750 pcm</t>
        </is>
      </c>
      <c r="D336" t="inlineStr">
        <is>
          <t>monthly</t>
        </is>
      </c>
      <c r="E336" t="inlineStr">
        <is>
          <t>Flat</t>
        </is>
      </c>
      <c r="F336" t="n">
        <v>2</v>
      </c>
      <c r="G336" t="n">
        <v>1</v>
      </c>
      <c r="H336" t="inlineStr">
        <is>
          <t>Colby Road, Crystal Palace, London, SE19</t>
        </is>
      </c>
      <c r="I336" t="inlineStr">
        <is>
          <t>A well-presented and proportioned ground floor two bedroom apartment with private garden in Crystal Palace to rent. Complete with a naturally bright reception room, kitchen including dishwasher and direct access to private rear garden with side access also, two double bedrooms and a newl...</t>
        </is>
      </c>
      <c r="J336" t="inlineStr">
        <is>
          <t>https://www.rightmove.co.uk/properties/167673929#/?channel=RES_LET</t>
        </is>
      </c>
      <c r="K336" t="inlineStr">
        <is>
          <t>/property-to-rent/contactBranch.html?propertyId=167673929</t>
        </is>
      </c>
      <c r="L336" t="inlineStr">
        <is>
          <t>Pedder, Crystal Palace</t>
        </is>
      </c>
      <c r="M336" t="n">
        <v>17108</v>
      </c>
      <c r="N336" t="inlineStr">
        <is>
          <t>Added on 01/10/2025</t>
        </is>
      </c>
      <c r="O336" t="inlineStr">
        <is>
          <t>2025-10-01T15:37:14Z</t>
        </is>
      </c>
      <c r="Q336" t="inlineStr">
        <is>
          <t>SE19</t>
        </is>
      </c>
      <c r="R336" t="inlineStr">
        <is>
          <t>2025-10-16T17:42:31.747265</t>
        </is>
      </c>
      <c r="S336" t="inlineStr">
        <is>
          <t>{'let available date': 'Now', 'deposit': '£2,019', 'min. tenancy': 'Ask agent', 'let type': 'Long term', 'furnish type': 'Unfurnished', 'council tax': 'Ask agent'}</t>
        </is>
      </c>
      <c r="V336" t="b">
        <v>1</v>
      </c>
      <c r="X336" t="n">
        <v>14</v>
      </c>
      <c r="Y336" t="n">
        <v>46.6</v>
      </c>
      <c r="Z336">
        <f>IF(AND(ISNUMBER(B336), ISNUMBER(MIN(B$2:B$486)), ISNUMBER(MAX(B$2:B$486))), IF(MAX(B$2:B$486)=MIN(B$2:B$486), 50, ROUND((MAX(B$2:B$486)-B336)/(MAX(B$2:B$486)-MIN(B$2:B$486))*100, 2)), "")</f>
        <v/>
      </c>
      <c r="AA336">
        <f>IF(AND(ISNUMBER(X336), ISNUMBER(MIN(X$2:X$486)), ISNUMBER(MAX(X$2:X$486))), IF(MAX(X$2:X$486)=MIN(X$2:X$486), 50, ROUND((MAX(X$2:X$486)-X336)/(MAX(X$2:X$486)-MIN(X$2:X$486))*100, 2)), "")</f>
        <v/>
      </c>
      <c r="AB336">
        <f>IF(AND(ISNUMBER(U336), ISNUMBER(MIN(U$2:U$486)), ISNUMBER(MAX(U$2:U$486))), IF(MAX(U$2:U$486)=MIN(U$2:U$486), 50, ROUND((U336-MIN(U$2:U$486))/(MAX(U$2:U$486)-MIN(U$2:U$486))*100, 2)), "")</f>
        <v/>
      </c>
      <c r="AC336">
        <f>IF(AND(ISNUMBER(Z336), ISNUMBER(AA336), ISNUMBER(AB336)), ROUND((Z336+AA336+AB336)/3, 2), "")</f>
        <v/>
      </c>
    </row>
    <row r="337">
      <c r="A337" t="n">
        <v>166281674</v>
      </c>
      <c r="B337" t="n">
        <v>1700</v>
      </c>
      <c r="C337" t="inlineStr">
        <is>
          <t>£1,700 pcm</t>
        </is>
      </c>
      <c r="D337" t="inlineStr">
        <is>
          <t>monthly</t>
        </is>
      </c>
      <c r="E337" t="inlineStr">
        <is>
          <t>Flat</t>
        </is>
      </c>
      <c r="F337" t="n">
        <v>2</v>
      </c>
      <c r="G337" t="n">
        <v>1</v>
      </c>
      <c r="H337" t="inlineStr">
        <is>
          <t>Moss Hall Grove, North Finchley</t>
        </is>
      </c>
      <c r="I337" t="inlineStr">
        <is>
          <t>Set in a popular purpose built building is this spacious two bedroom bedroom ground floor maisonette with a study and access to communal gardens</t>
        </is>
      </c>
      <c r="J337" t="inlineStr">
        <is>
          <t>https://www.rightmove.co.uk/properties/166281674#/?channel=RES_LET</t>
        </is>
      </c>
      <c r="K337" t="inlineStr">
        <is>
          <t>/property-to-rent/contactBranch.html?propertyId=166281674</t>
        </is>
      </c>
      <c r="L337" t="inlineStr">
        <is>
          <t>Dexters, Finchley</t>
        </is>
      </c>
      <c r="M337" t="n">
        <v>249770</v>
      </c>
      <c r="N337" t="inlineStr">
        <is>
          <t>Reduced on 01/10/2025</t>
        </is>
      </c>
      <c r="O337" t="inlineStr">
        <is>
          <t>2025-08-27T18:11:10Z</t>
        </is>
      </c>
      <c r="R337" t="inlineStr">
        <is>
          <t>2025-10-16T17:42:31.747267</t>
        </is>
      </c>
      <c r="S337" t="inlineStr">
        <is>
          <t>{'let available date': 'Ask agent', 'deposit': '£1,961', 'min. tenancy': 'Ask agent', 'let type': 'Long term', 'furnish type': 'Ask agent', 'council tax': 'Ask agent'}</t>
        </is>
      </c>
      <c r="V337" t="b">
        <v>1</v>
      </c>
      <c r="X337" t="n">
        <v>13.62</v>
      </c>
      <c r="Y337" t="n">
        <v>45.7</v>
      </c>
      <c r="Z337">
        <f>IF(AND(ISNUMBER(B337), ISNUMBER(MIN(B$2:B$486)), ISNUMBER(MAX(B$2:B$486))), IF(MAX(B$2:B$486)=MIN(B$2:B$486), 50, ROUND((MAX(B$2:B$486)-B337)/(MAX(B$2:B$486)-MIN(B$2:B$486))*100, 2)), "")</f>
        <v/>
      </c>
      <c r="AA337">
        <f>IF(AND(ISNUMBER(X337), ISNUMBER(MIN(X$2:X$486)), ISNUMBER(MAX(X$2:X$486))), IF(MAX(X$2:X$486)=MIN(X$2:X$486), 50, ROUND((MAX(X$2:X$486)-X337)/(MAX(X$2:X$486)-MIN(X$2:X$486))*100, 2)), "")</f>
        <v/>
      </c>
      <c r="AB337">
        <f>IF(AND(ISNUMBER(U337), ISNUMBER(MIN(U$2:U$486)), ISNUMBER(MAX(U$2:U$486))), IF(MAX(U$2:U$486)=MIN(U$2:U$486), 50, ROUND((U337-MIN(U$2:U$486))/(MAX(U$2:U$486)-MIN(U$2:U$486))*100, 2)), "")</f>
        <v/>
      </c>
      <c r="AC337">
        <f>IF(AND(ISNUMBER(Z337), ISNUMBER(AA337), ISNUMBER(AB337)), ROUND((Z337+AA337+AB337)/3, 2), "")</f>
        <v/>
      </c>
    </row>
    <row r="338">
      <c r="A338" t="n">
        <v>168202184</v>
      </c>
      <c r="B338" t="n">
        <v>1650</v>
      </c>
      <c r="C338" t="inlineStr">
        <is>
          <t>£1,650 pcm</t>
        </is>
      </c>
      <c r="D338" t="inlineStr">
        <is>
          <t>monthly</t>
        </is>
      </c>
      <c r="E338" t="inlineStr">
        <is>
          <t>End of Terrace</t>
        </is>
      </c>
      <c r="F338" t="n">
        <v>2</v>
      </c>
      <c r="G338" t="n">
        <v>1</v>
      </c>
      <c r="H338" t="inlineStr">
        <is>
          <t>Westminster Road, Sutton, SM1 3NH</t>
        </is>
      </c>
      <c r="I338" t="inlineStr">
        <is>
          <t xml:space="preserve">This two bedroom end of terraced house has recently been redecorated and is presented in good order throughout. </t>
        </is>
      </c>
      <c r="J338" t="inlineStr">
        <is>
          <t>https://www.rightmove.co.uk/properties/168202184#/?channel=RES_LET</t>
        </is>
      </c>
      <c r="K338" t="inlineStr">
        <is>
          <t>/property-to-rent/contactBranch.html?propertyId=168202184</t>
        </is>
      </c>
      <c r="L338" t="inlineStr">
        <is>
          <t>HAUZOO, London</t>
        </is>
      </c>
      <c r="M338" t="n">
        <v>243260</v>
      </c>
      <c r="N338" t="inlineStr">
        <is>
          <t>Added on 01/10/2025</t>
        </is>
      </c>
      <c r="O338" t="inlineStr">
        <is>
          <t>2025-10-15T13:29:39Z</t>
        </is>
      </c>
      <c r="Q338" t="inlineStr">
        <is>
          <t>SM1</t>
        </is>
      </c>
      <c r="R338" t="inlineStr">
        <is>
          <t>2025-10-16T17:42:31.747270</t>
        </is>
      </c>
      <c r="S338" t="inlineStr">
        <is>
          <t>{'let available date': 'Now', 'deposit': '£1,903', 'min. tenancy': 'Ask agent', 'let type': 'Long term', 'furnish type': 'Unfurnished', 'council tax': 'Ask agent'}</t>
        </is>
      </c>
      <c r="T338" t="n">
        <v>695</v>
      </c>
      <c r="U338" t="n">
        <v>65</v>
      </c>
      <c r="V338" t="b">
        <v>1</v>
      </c>
      <c r="X338" t="n">
        <v>19.91</v>
      </c>
      <c r="Y338" t="n">
        <v>61.4</v>
      </c>
      <c r="Z338">
        <f>IF(AND(ISNUMBER(B338), ISNUMBER(MIN(B$2:B$486)), ISNUMBER(MAX(B$2:B$486))), IF(MAX(B$2:B$486)=MIN(B$2:B$486), 50, ROUND((MAX(B$2:B$486)-B338)/(MAX(B$2:B$486)-MIN(B$2:B$486))*100, 2)), "")</f>
        <v/>
      </c>
      <c r="AA338">
        <f>IF(AND(ISNUMBER(X338), ISNUMBER(MIN(X$2:X$486)), ISNUMBER(MAX(X$2:X$486))), IF(MAX(X$2:X$486)=MIN(X$2:X$486), 50, ROUND((MAX(X$2:X$486)-X338)/(MAX(X$2:X$486)-MIN(X$2:X$486))*100, 2)), "")</f>
        <v/>
      </c>
      <c r="AB338">
        <f>IF(AND(ISNUMBER(U338), ISNUMBER(MIN(U$2:U$486)), ISNUMBER(MAX(U$2:U$486))), IF(MAX(U$2:U$486)=MIN(U$2:U$486), 50, ROUND((U338-MIN(U$2:U$486))/(MAX(U$2:U$486)-MIN(U$2:U$486))*100, 2)), "")</f>
        <v/>
      </c>
      <c r="AC338">
        <f>IF(AND(ISNUMBER(Z338), ISNUMBER(AA338), ISNUMBER(AB338)), ROUND((Z338+AA338+AB338)/3, 2), "")</f>
        <v/>
      </c>
    </row>
    <row r="339">
      <c r="A339" t="n">
        <v>167656952</v>
      </c>
      <c r="B339" t="n">
        <v>1595</v>
      </c>
      <c r="C339" t="inlineStr">
        <is>
          <t>£1,595 pcm</t>
        </is>
      </c>
      <c r="D339" t="inlineStr">
        <is>
          <t>monthly</t>
        </is>
      </c>
      <c r="E339" t="inlineStr">
        <is>
          <t>Mews</t>
        </is>
      </c>
      <c r="F339" t="n">
        <v>2</v>
      </c>
      <c r="G339" t="n">
        <v>1</v>
      </c>
      <c r="H339" t="inlineStr">
        <is>
          <t>High Street, Croydon, London, SE25</t>
        </is>
      </c>
      <c r="I339" t="inlineStr">
        <is>
          <t>LONG LET. Set on the 3rd floor of a purpose built block, this bright and spacious 2 bedroom flat offers open-plan reception room with a smart kitchen and space to dine, well-sized double bedroom and a lift access.</t>
        </is>
      </c>
      <c r="J339" t="inlineStr">
        <is>
          <t>https://www.rightmove.co.uk/properties/167656952#/?channel=RES_LET</t>
        </is>
      </c>
      <c r="K339" t="inlineStr">
        <is>
          <t>/property-to-rent/contactBranch.html?propertyId=167656952</t>
        </is>
      </c>
      <c r="L339" t="inlineStr">
        <is>
          <t>Foxtons, Crystal Palace</t>
        </is>
      </c>
      <c r="M339" t="n">
        <v>100426</v>
      </c>
      <c r="N339" t="inlineStr">
        <is>
          <t>Added on 01/10/2025</t>
        </is>
      </c>
      <c r="O339" t="inlineStr">
        <is>
          <t>2025-10-01T11:44:04Z</t>
        </is>
      </c>
      <c r="Q339" t="inlineStr">
        <is>
          <t>SE25</t>
        </is>
      </c>
      <c r="R339" t="inlineStr">
        <is>
          <t>2025-10-16T17:42:31.747272</t>
        </is>
      </c>
      <c r="S339" t="inlineStr">
        <is>
          <t>{'let available date': 'Ask agent', 'deposit': '£1,841', 'min. tenancy': 'Ask agent', 'let type': 'Long term', 'furnish type': 'Unfurnished', 'council tax': 'Ask agent'}</t>
        </is>
      </c>
      <c r="T339" t="n">
        <v>613</v>
      </c>
      <c r="U339" t="n">
        <v>57</v>
      </c>
      <c r="V339" t="b">
        <v>1</v>
      </c>
      <c r="X339" t="n">
        <v>16.69</v>
      </c>
      <c r="Y339" t="n">
        <v>52.9</v>
      </c>
      <c r="Z339">
        <f>IF(AND(ISNUMBER(B339), ISNUMBER(MIN(B$2:B$486)), ISNUMBER(MAX(B$2:B$486))), IF(MAX(B$2:B$486)=MIN(B$2:B$486), 50, ROUND((MAX(B$2:B$486)-B339)/(MAX(B$2:B$486)-MIN(B$2:B$486))*100, 2)), "")</f>
        <v/>
      </c>
      <c r="AA339">
        <f>IF(AND(ISNUMBER(X339), ISNUMBER(MIN(X$2:X$486)), ISNUMBER(MAX(X$2:X$486))), IF(MAX(X$2:X$486)=MIN(X$2:X$486), 50, ROUND((MAX(X$2:X$486)-X339)/(MAX(X$2:X$486)-MIN(X$2:X$486))*100, 2)), "")</f>
        <v/>
      </c>
      <c r="AB339">
        <f>IF(AND(ISNUMBER(U339), ISNUMBER(MIN(U$2:U$486)), ISNUMBER(MAX(U$2:U$486))), IF(MAX(U$2:U$486)=MIN(U$2:U$486), 50, ROUND((U339-MIN(U$2:U$486))/(MAX(U$2:U$486)-MIN(U$2:U$486))*100, 2)), "")</f>
        <v/>
      </c>
      <c r="AC339">
        <f>IF(AND(ISNUMBER(Z339), ISNUMBER(AA339), ISNUMBER(AB339)), ROUND((Z339+AA339+AB339)/3, 2), "")</f>
        <v/>
      </c>
    </row>
    <row r="340">
      <c r="A340" t="n">
        <v>165044888</v>
      </c>
      <c r="B340" t="n">
        <v>1600</v>
      </c>
      <c r="C340" t="inlineStr">
        <is>
          <t>£1,600 pcm</t>
        </is>
      </c>
      <c r="D340" t="inlineStr">
        <is>
          <t>monthly</t>
        </is>
      </c>
      <c r="E340" t="inlineStr">
        <is>
          <t>Flat</t>
        </is>
      </c>
      <c r="F340" t="n">
        <v>2</v>
      </c>
      <c r="G340" t="n">
        <v>1</v>
      </c>
      <c r="H340" t="inlineStr">
        <is>
          <t>The Broadway, Mill Hill, NW7</t>
        </is>
      </c>
      <c r="I340" t="inlineStr">
        <is>
          <t>Cosway Estates are pleased to offer for rent this modern well-presented two bedroom first floor flat situated within a stones throw of the amenities of Mill Hill Broadway. The property has been has wood flooring. This property consists of a separate modern fitted kitchen; living room; two bedroom...</t>
        </is>
      </c>
      <c r="J340" t="inlineStr">
        <is>
          <t>https://www.rightmove.co.uk/properties/165044888#/?channel=RES_LET</t>
        </is>
      </c>
      <c r="K340" t="inlineStr">
        <is>
          <t>/property-to-rent/contactBranch.html?propertyId=165044888</t>
        </is>
      </c>
      <c r="L340" t="inlineStr">
        <is>
          <t>Cosway Estates, Mill Hill</t>
        </is>
      </c>
      <c r="M340" t="n">
        <v>9970</v>
      </c>
      <c r="N340" t="inlineStr">
        <is>
          <t>Reduced on 01/10/2025</t>
        </is>
      </c>
      <c r="O340" t="inlineStr">
        <is>
          <t>2025-07-28T17:04:00Z</t>
        </is>
      </c>
      <c r="Q340" t="inlineStr">
        <is>
          <t>NW7</t>
        </is>
      </c>
      <c r="R340" t="inlineStr">
        <is>
          <t>2025-10-16T17:42:31.747279</t>
        </is>
      </c>
      <c r="S340" t="inlineStr">
        <is>
          <t>{'let available date': 'Now', 'deposit': 'Ask agent', 'min. tenancy': 'Ask agent', 'let type': 'Long term', 'furnish type': 'Unfurnished', 'council tax': 'Ask agent'}</t>
        </is>
      </c>
      <c r="V340" t="b">
        <v>1</v>
      </c>
      <c r="X340" t="n">
        <v>17.56</v>
      </c>
      <c r="Y340" t="n">
        <v>49.1</v>
      </c>
      <c r="Z340">
        <f>IF(AND(ISNUMBER(B340), ISNUMBER(MIN(B$2:B$486)), ISNUMBER(MAX(B$2:B$486))), IF(MAX(B$2:B$486)=MIN(B$2:B$486), 50, ROUND((MAX(B$2:B$486)-B340)/(MAX(B$2:B$486)-MIN(B$2:B$486))*100, 2)), "")</f>
        <v/>
      </c>
      <c r="AA340">
        <f>IF(AND(ISNUMBER(X340), ISNUMBER(MIN(X$2:X$486)), ISNUMBER(MAX(X$2:X$486))), IF(MAX(X$2:X$486)=MIN(X$2:X$486), 50, ROUND((MAX(X$2:X$486)-X340)/(MAX(X$2:X$486)-MIN(X$2:X$486))*100, 2)), "")</f>
        <v/>
      </c>
      <c r="AB340">
        <f>IF(AND(ISNUMBER(U340), ISNUMBER(MIN(U$2:U$486)), ISNUMBER(MAX(U$2:U$486))), IF(MAX(U$2:U$486)=MIN(U$2:U$486), 50, ROUND((U340-MIN(U$2:U$486))/(MAX(U$2:U$486)-MIN(U$2:U$486))*100, 2)), "")</f>
        <v/>
      </c>
      <c r="AC340">
        <f>IF(AND(ISNUMBER(Z340), ISNUMBER(AA340), ISNUMBER(AB340)), ROUND((Z340+AA340+AB340)/3, 2), "")</f>
        <v/>
      </c>
    </row>
    <row r="341">
      <c r="A341" t="n">
        <v>166976012</v>
      </c>
      <c r="B341" t="n">
        <v>1650</v>
      </c>
      <c r="C341" t="inlineStr">
        <is>
          <t>£1,650 pcm</t>
        </is>
      </c>
      <c r="D341" t="inlineStr">
        <is>
          <t>monthly</t>
        </is>
      </c>
      <c r="E341" t="inlineStr">
        <is>
          <t>Apartment</t>
        </is>
      </c>
      <c r="F341" t="n">
        <v>2</v>
      </c>
      <c r="G341" t="n">
        <v>1</v>
      </c>
      <c r="H341" t="inlineStr">
        <is>
          <t>Rose Bates Drive, London, NW9</t>
        </is>
      </c>
      <c r="I341" t="inlineStr">
        <is>
          <t>A lovely 2 bedroom apartment located in a modern development on the 3rd floor in the heart of Kingsbury. Comprising of 1 double, 1 single bedroom, modern fitted kitchen and bathroom, 1 reception room.Benefitting from electric heating, white goods, double glazing, an entryphone system, wooden floo...</t>
        </is>
      </c>
      <c r="J341" t="inlineStr">
        <is>
          <t>https://www.rightmove.co.uk/properties/166976012#/?channel=RES_LET</t>
        </is>
      </c>
      <c r="K341" t="inlineStr">
        <is>
          <t>/property-to-rent/contactBranch.html?propertyId=166976012</t>
        </is>
      </c>
      <c r="L341" t="inlineStr">
        <is>
          <t>Winkworth, Kingsbury</t>
        </is>
      </c>
      <c r="M341" t="n">
        <v>34082</v>
      </c>
      <c r="N341" t="inlineStr">
        <is>
          <t>Reduced on 01/10/2025</t>
        </is>
      </c>
      <c r="O341" t="inlineStr">
        <is>
          <t>2025-09-13T14:27:58Z</t>
        </is>
      </c>
      <c r="Q341" t="inlineStr">
        <is>
          <t>NW9</t>
        </is>
      </c>
      <c r="R341" t="inlineStr">
        <is>
          <t>2025-10-16T17:42:33.209649</t>
        </is>
      </c>
      <c r="S341" t="inlineStr">
        <is>
          <t>{'let available date': 'Now', 'deposit': '£1,961', 'min. tenancy': '12 months', 'let type': 'Long term', 'furnish type': 'Unfurnished', 'council tax': 'Ask agent'}</t>
        </is>
      </c>
      <c r="V341" t="b">
        <v>1</v>
      </c>
      <c r="X341" t="n">
        <v>15.5</v>
      </c>
      <c r="Y341" t="n">
        <v>45.7</v>
      </c>
      <c r="Z341">
        <f>IF(AND(ISNUMBER(B341), ISNUMBER(MIN(B$2:B$486)), ISNUMBER(MAX(B$2:B$486))), IF(MAX(B$2:B$486)=MIN(B$2:B$486), 50, ROUND((MAX(B$2:B$486)-B341)/(MAX(B$2:B$486)-MIN(B$2:B$486))*100, 2)), "")</f>
        <v/>
      </c>
      <c r="AA341">
        <f>IF(AND(ISNUMBER(X341), ISNUMBER(MIN(X$2:X$486)), ISNUMBER(MAX(X$2:X$486))), IF(MAX(X$2:X$486)=MIN(X$2:X$486), 50, ROUND((MAX(X$2:X$486)-X341)/(MAX(X$2:X$486)-MIN(X$2:X$486))*100, 2)), "")</f>
        <v/>
      </c>
      <c r="AB341">
        <f>IF(AND(ISNUMBER(U341), ISNUMBER(MIN(U$2:U$486)), ISNUMBER(MAX(U$2:U$486))), IF(MAX(U$2:U$486)=MIN(U$2:U$486), 50, ROUND((U341-MIN(U$2:U$486))/(MAX(U$2:U$486)-MIN(U$2:U$486))*100, 2)), "")</f>
        <v/>
      </c>
      <c r="AC341">
        <f>IF(AND(ISNUMBER(Z341), ISNUMBER(AA341), ISNUMBER(AB341)), ROUND((Z341+AA341+AB341)/3, 2), "")</f>
        <v/>
      </c>
    </row>
    <row r="342">
      <c r="A342" t="n">
        <v>167643560</v>
      </c>
      <c r="B342" t="n">
        <v>1700</v>
      </c>
      <c r="C342" t="inlineStr">
        <is>
          <t>£1,700 pcm</t>
        </is>
      </c>
      <c r="D342" t="inlineStr">
        <is>
          <t>monthly</t>
        </is>
      </c>
      <c r="E342" t="inlineStr">
        <is>
          <t>Ground Flat</t>
        </is>
      </c>
      <c r="F342" t="n">
        <v>2</v>
      </c>
      <c r="G342" t="n">
        <v>1</v>
      </c>
      <c r="H342" t="inlineStr">
        <is>
          <t>Wilfred Court, South Grove, Tottenham, London</t>
        </is>
      </c>
      <c r="I342" t="inlineStr">
        <is>
          <t>A desirable two bedroom ground floor maisonette in a well maintained private purpose built block, in this highly sought after and rapidly transforming area of Seven Sisters N15. The property has recently been decorated by the current landlord and offers a contemporary and stylish living space. Be...</t>
        </is>
      </c>
      <c r="J342" t="inlineStr">
        <is>
          <t>https://www.rightmove.co.uk/properties/167643560#/?channel=RES_LET</t>
        </is>
      </c>
      <c r="K342" t="inlineStr">
        <is>
          <t>/property-to-rent/contactBranch.html?propertyId=167643560</t>
        </is>
      </c>
      <c r="L342" t="inlineStr">
        <is>
          <t>Wilkinson Byrne, Harringay</t>
        </is>
      </c>
      <c r="M342" t="n">
        <v>14497</v>
      </c>
      <c r="N342" t="inlineStr">
        <is>
          <t>Added on 01/10/2025</t>
        </is>
      </c>
      <c r="O342" t="inlineStr">
        <is>
          <t>2025-10-01T08:47:21Z</t>
        </is>
      </c>
      <c r="R342" t="inlineStr">
        <is>
          <t>2025-10-16T17:42:33.209658</t>
        </is>
      </c>
      <c r="S342" t="inlineStr">
        <is>
          <t>{'let available date': '15/11/2025', 'deposit': '£1,700', 'min. tenancy': 'Ask agent', 'let type': 'Long term', 'furnish type': 'Part furnished', 'council tax': 'Ask agent'}</t>
        </is>
      </c>
      <c r="V342" t="b">
        <v>1</v>
      </c>
      <c r="X342" t="n">
        <v>10.43</v>
      </c>
      <c r="Y342" t="n">
        <v>38.7</v>
      </c>
      <c r="Z342">
        <f>IF(AND(ISNUMBER(B342), ISNUMBER(MIN(B$2:B$486)), ISNUMBER(MAX(B$2:B$486))), IF(MAX(B$2:B$486)=MIN(B$2:B$486), 50, ROUND((MAX(B$2:B$486)-B342)/(MAX(B$2:B$486)-MIN(B$2:B$486))*100, 2)), "")</f>
        <v/>
      </c>
      <c r="AA342">
        <f>IF(AND(ISNUMBER(X342), ISNUMBER(MIN(X$2:X$486)), ISNUMBER(MAX(X$2:X$486))), IF(MAX(X$2:X$486)=MIN(X$2:X$486), 50, ROUND((MAX(X$2:X$486)-X342)/(MAX(X$2:X$486)-MIN(X$2:X$486))*100, 2)), "")</f>
        <v/>
      </c>
      <c r="AB342">
        <f>IF(AND(ISNUMBER(U342), ISNUMBER(MIN(U$2:U$486)), ISNUMBER(MAX(U$2:U$486))), IF(MAX(U$2:U$486)=MIN(U$2:U$486), 50, ROUND((U342-MIN(U$2:U$486))/(MAX(U$2:U$486)-MIN(U$2:U$486))*100, 2)), "")</f>
        <v/>
      </c>
      <c r="AC342">
        <f>IF(AND(ISNUMBER(Z342), ISNUMBER(AA342), ISNUMBER(AB342)), ROUND((Z342+AA342+AB342)/3, 2), "")</f>
        <v/>
      </c>
    </row>
    <row r="343">
      <c r="A343" t="n">
        <v>167643089</v>
      </c>
      <c r="B343" t="n">
        <v>1750</v>
      </c>
      <c r="C343" t="inlineStr">
        <is>
          <t>£1,750 pcm</t>
        </is>
      </c>
      <c r="D343" t="inlineStr">
        <is>
          <t>monthly</t>
        </is>
      </c>
      <c r="E343" t="inlineStr">
        <is>
          <t>Flat</t>
        </is>
      </c>
      <c r="F343" t="n">
        <v>2</v>
      </c>
      <c r="G343" t="n">
        <v>1</v>
      </c>
      <c r="H343" t="inlineStr">
        <is>
          <t>Somerset Gardens, London</t>
        </is>
      </c>
      <c r="I343" t="inlineStr">
        <is>
          <t>We are proud to present this lovely 2 bedroom flat located in Tottenham. It is briefly comprised of 2 bedrooms, 1 dining/living area with a semi-open planned kitchen and a family sized bathroom. It is located approximately 5 minutes walk away from White Hart Lane station which provides ...</t>
        </is>
      </c>
      <c r="J343" t="inlineStr">
        <is>
          <t>https://www.rightmove.co.uk/properties/167643089#/?channel=RES_LET</t>
        </is>
      </c>
      <c r="K343" t="inlineStr">
        <is>
          <t>/property-to-rent/contactBranch.html?propertyId=167643089</t>
        </is>
      </c>
      <c r="L343" t="inlineStr">
        <is>
          <t>Daniel Ford, Kings Cross</t>
        </is>
      </c>
      <c r="M343" t="n">
        <v>228512</v>
      </c>
      <c r="N343" t="inlineStr">
        <is>
          <t>Added on 01/10/2025</t>
        </is>
      </c>
      <c r="O343" t="inlineStr">
        <is>
          <t>2025-10-01T08:31:04Z</t>
        </is>
      </c>
      <c r="R343" t="inlineStr">
        <is>
          <t>2025-10-16T17:42:33.209666</t>
        </is>
      </c>
      <c r="S343" t="inlineStr">
        <is>
          <t>{'let available date': 'Now', 'deposit': '£2,019', 'min. tenancy': 'Ask agent', 'let type': 'Long term', 'furnish type': 'Part furnished', 'council tax': 'Ask agent'}</t>
        </is>
      </c>
      <c r="V343" t="b">
        <v>1</v>
      </c>
      <c r="X343" t="n">
        <v>9.359999999999999</v>
      </c>
      <c r="Y343" t="n">
        <v>36.3</v>
      </c>
      <c r="Z343">
        <f>IF(AND(ISNUMBER(B343), ISNUMBER(MIN(B$2:B$486)), ISNUMBER(MAX(B$2:B$486))), IF(MAX(B$2:B$486)=MIN(B$2:B$486), 50, ROUND((MAX(B$2:B$486)-B343)/(MAX(B$2:B$486)-MIN(B$2:B$486))*100, 2)), "")</f>
        <v/>
      </c>
      <c r="AA343">
        <f>IF(AND(ISNUMBER(X343), ISNUMBER(MIN(X$2:X$486)), ISNUMBER(MAX(X$2:X$486))), IF(MAX(X$2:X$486)=MIN(X$2:X$486), 50, ROUND((MAX(X$2:X$486)-X343)/(MAX(X$2:X$486)-MIN(X$2:X$486))*100, 2)), "")</f>
        <v/>
      </c>
      <c r="AB343">
        <f>IF(AND(ISNUMBER(U343), ISNUMBER(MIN(U$2:U$486)), ISNUMBER(MAX(U$2:U$486))), IF(MAX(U$2:U$486)=MIN(U$2:U$486), 50, ROUND((U343-MIN(U$2:U$486))/(MAX(U$2:U$486)-MIN(U$2:U$486))*100, 2)), "")</f>
        <v/>
      </c>
      <c r="AC343">
        <f>IF(AND(ISNUMBER(Z343), ISNUMBER(AA343), ISNUMBER(AB343)), ROUND((Z343+AA343+AB343)/3, 2), "")</f>
        <v/>
      </c>
    </row>
    <row r="344">
      <c r="A344" t="n">
        <v>167639405</v>
      </c>
      <c r="B344" t="n">
        <v>1750</v>
      </c>
      <c r="C344" t="inlineStr">
        <is>
          <t>£1,750 pcm</t>
        </is>
      </c>
      <c r="D344" t="inlineStr">
        <is>
          <t>monthly</t>
        </is>
      </c>
      <c r="E344" t="inlineStr">
        <is>
          <t>Flat</t>
        </is>
      </c>
      <c r="F344" t="n">
        <v>2</v>
      </c>
      <c r="G344" t="n">
        <v>1</v>
      </c>
      <c r="H344" t="inlineStr">
        <is>
          <t>The Avenue, Worcester Park, KT4 7HD</t>
        </is>
      </c>
      <c r="I344" t="inlineStr">
        <is>
          <t>In a smart small private block a second floor light and airy flat with two double bedrooms, large living/dining room, modern tiled bathroom with bath and power shower, fully fitted kitchen, all new dé...</t>
        </is>
      </c>
      <c r="J344" t="inlineStr">
        <is>
          <t>https://www.rightmove.co.uk/properties/167639405#/?channel=RES_LET</t>
        </is>
      </c>
      <c r="K344" t="inlineStr">
        <is>
          <t>/property-to-rent/contactBranch.html?propertyId=167639405</t>
        </is>
      </c>
      <c r="L344" t="inlineStr">
        <is>
          <t>Tennison Property, Wimbledon</t>
        </is>
      </c>
      <c r="M344" t="n">
        <v>76430</v>
      </c>
      <c r="N344" t="inlineStr">
        <is>
          <t>Added on 01/10/2025</t>
        </is>
      </c>
      <c r="O344" t="inlineStr">
        <is>
          <t>2025-10-01T01:00:02Z</t>
        </is>
      </c>
      <c r="Q344" t="inlineStr">
        <is>
          <t>KT4</t>
        </is>
      </c>
      <c r="R344" t="inlineStr">
        <is>
          <t>2025-10-16T17:42:33.209684</t>
        </is>
      </c>
      <c r="S344" t="inlineStr">
        <is>
          <t>{'let available date': '02/11/2025', 'deposit': 'Ask agent', 'min. tenancy': 'Ask agent', 'let type': 'Long term', 'furnish type': 'Unfurnished', 'council tax': 'Ask agent'}</t>
        </is>
      </c>
      <c r="V344" t="b">
        <v>1</v>
      </c>
      <c r="X344" t="n">
        <v>22.4</v>
      </c>
      <c r="Y344" t="n">
        <v>59.1</v>
      </c>
      <c r="Z344">
        <f>IF(AND(ISNUMBER(B344), ISNUMBER(MIN(B$2:B$486)), ISNUMBER(MAX(B$2:B$486))), IF(MAX(B$2:B$486)=MIN(B$2:B$486), 50, ROUND((MAX(B$2:B$486)-B344)/(MAX(B$2:B$486)-MIN(B$2:B$486))*100, 2)), "")</f>
        <v/>
      </c>
      <c r="AA344">
        <f>IF(AND(ISNUMBER(X344), ISNUMBER(MIN(X$2:X$486)), ISNUMBER(MAX(X$2:X$486))), IF(MAX(X$2:X$486)=MIN(X$2:X$486), 50, ROUND((MAX(X$2:X$486)-X344)/(MAX(X$2:X$486)-MIN(X$2:X$486))*100, 2)), "")</f>
        <v/>
      </c>
      <c r="AB344">
        <f>IF(AND(ISNUMBER(U344), ISNUMBER(MIN(U$2:U$486)), ISNUMBER(MAX(U$2:U$486))), IF(MAX(U$2:U$486)=MIN(U$2:U$486), 50, ROUND((U344-MIN(U$2:U$486))/(MAX(U$2:U$486)-MIN(U$2:U$486))*100, 2)), "")</f>
        <v/>
      </c>
      <c r="AC344">
        <f>IF(AND(ISNUMBER(Z344), ISNUMBER(AA344), ISNUMBER(AB344)), ROUND((Z344+AA344+AB344)/3, 2), "")</f>
        <v/>
      </c>
    </row>
    <row r="345">
      <c r="A345" t="n">
        <v>168232682</v>
      </c>
      <c r="B345" t="n">
        <v>1600</v>
      </c>
      <c r="C345" t="inlineStr">
        <is>
          <t>£1,600 pcm</t>
        </is>
      </c>
      <c r="D345" t="inlineStr">
        <is>
          <t>monthly</t>
        </is>
      </c>
      <c r="E345" t="inlineStr">
        <is>
          <t>Flat</t>
        </is>
      </c>
      <c r="F345" t="n">
        <v>2</v>
      </c>
      <c r="G345" t="n">
        <v>1</v>
      </c>
      <c r="H345" t="inlineStr">
        <is>
          <t>Heathcote Road, Twickenham, TW1</t>
        </is>
      </c>
      <c r="I345" t="inlineStr">
        <is>
          <t>This lovely two bed apartment in a secure gated development on Heathcote Road. Offering two bedrooms, lovely reception room, bathroom and storage. The flat also offers allocated parking and walking distance to St Margarets and Richmond.</t>
        </is>
      </c>
      <c r="J345" t="inlineStr">
        <is>
          <t>https://www.rightmove.co.uk/properties/168232682#/?channel=RES_LET</t>
        </is>
      </c>
      <c r="K345" t="inlineStr">
        <is>
          <t>/property-to-rent/contactBranch.html?propertyId=168232682</t>
        </is>
      </c>
      <c r="L345" t="inlineStr">
        <is>
          <t>John D Wood &amp; Co. Lettings, St Margarets</t>
        </is>
      </c>
      <c r="M345" t="n">
        <v>56906</v>
      </c>
      <c r="N345" t="inlineStr">
        <is>
          <t>Added on 30/09/2025</t>
        </is>
      </c>
      <c r="O345" t="inlineStr">
        <is>
          <t>2025-10-16T02:55:25Z</t>
        </is>
      </c>
      <c r="Q345" t="inlineStr">
        <is>
          <t>TW1</t>
        </is>
      </c>
      <c r="R345" t="inlineStr">
        <is>
          <t>2025-10-16T17:42:33.209693</t>
        </is>
      </c>
      <c r="S345" t="inlineStr">
        <is>
          <t>{'let available date': '31/10/2025', 'deposit': '£1,846', 'min. tenancy': 'Ask agent', 'let type': 'Long term', 'furnish type': 'Unfurnished', 'council tax': 'Ask agent'}</t>
        </is>
      </c>
      <c r="V345" t="b">
        <v>1</v>
      </c>
      <c r="X345" t="n">
        <v>17.27</v>
      </c>
      <c r="Y345" t="n">
        <v>54.9</v>
      </c>
      <c r="Z345">
        <f>IF(AND(ISNUMBER(B345), ISNUMBER(MIN(B$2:B$486)), ISNUMBER(MAX(B$2:B$486))), IF(MAX(B$2:B$486)=MIN(B$2:B$486), 50, ROUND((MAX(B$2:B$486)-B345)/(MAX(B$2:B$486)-MIN(B$2:B$486))*100, 2)), "")</f>
        <v/>
      </c>
      <c r="AA345">
        <f>IF(AND(ISNUMBER(X345), ISNUMBER(MIN(X$2:X$486)), ISNUMBER(MAX(X$2:X$486))), IF(MAX(X$2:X$486)=MIN(X$2:X$486), 50, ROUND((MAX(X$2:X$486)-X345)/(MAX(X$2:X$486)-MIN(X$2:X$486))*100, 2)), "")</f>
        <v/>
      </c>
      <c r="AB345">
        <f>IF(AND(ISNUMBER(U345), ISNUMBER(MIN(U$2:U$486)), ISNUMBER(MAX(U$2:U$486))), IF(MAX(U$2:U$486)=MIN(U$2:U$486), 50, ROUND((U345-MIN(U$2:U$486))/(MAX(U$2:U$486)-MIN(U$2:U$486))*100, 2)), "")</f>
        <v/>
      </c>
      <c r="AC345">
        <f>IF(AND(ISNUMBER(Z345), ISNUMBER(AA345), ISNUMBER(AB345)), ROUND((Z345+AA345+AB345)/3, 2), "")</f>
        <v/>
      </c>
    </row>
    <row r="346">
      <c r="A346" t="n">
        <v>167104991</v>
      </c>
      <c r="B346" t="n">
        <v>1750</v>
      </c>
      <c r="C346" t="inlineStr">
        <is>
          <t>£1,750 pcm</t>
        </is>
      </c>
      <c r="D346" t="inlineStr">
        <is>
          <t>monthly</t>
        </is>
      </c>
      <c r="E346" t="inlineStr">
        <is>
          <t>Flat</t>
        </is>
      </c>
      <c r="F346" t="n">
        <v>2</v>
      </c>
      <c r="G346" t="n">
        <v>1</v>
      </c>
      <c r="H346" t="inlineStr">
        <is>
          <t>New Cross Road, New Cross</t>
        </is>
      </c>
      <c r="I346" t="inlineStr">
        <is>
          <t>A two bedroom Victorian conversion on New Cross Road. Including an open living space, modern features and ample storage throughout.</t>
        </is>
      </c>
      <c r="J346" t="inlineStr">
        <is>
          <t>https://www.rightmove.co.uk/properties/167104991#/?channel=RES_LET</t>
        </is>
      </c>
      <c r="K346" t="inlineStr">
        <is>
          <t>/property-to-rent/contactBranch.html?propertyId=167104991</t>
        </is>
      </c>
      <c r="L346" t="inlineStr">
        <is>
          <t>Dexters, New Cross</t>
        </is>
      </c>
      <c r="M346" t="n">
        <v>118051</v>
      </c>
      <c r="N346" t="inlineStr">
        <is>
          <t>Reduced on 30/09/2025</t>
        </is>
      </c>
      <c r="O346" t="inlineStr">
        <is>
          <t>2025-09-17T15:42:56Z</t>
        </is>
      </c>
      <c r="R346" t="inlineStr">
        <is>
          <t>2025-10-16T17:42:33.209700</t>
        </is>
      </c>
      <c r="S346" t="inlineStr">
        <is>
          <t>{'let available date': 'Ask agent', 'deposit': '£2,019', 'min. tenancy': 'Ask agent', 'let type': 'Long term', 'furnish type': 'Unfurnished', 'council tax': 'Ask agent'}</t>
        </is>
      </c>
      <c r="V346" t="b">
        <v>1</v>
      </c>
      <c r="X346" t="n">
        <v>10.01</v>
      </c>
      <c r="Y346" t="n">
        <v>40</v>
      </c>
      <c r="Z346">
        <f>IF(AND(ISNUMBER(B346), ISNUMBER(MIN(B$2:B$486)), ISNUMBER(MAX(B$2:B$486))), IF(MAX(B$2:B$486)=MIN(B$2:B$486), 50, ROUND((MAX(B$2:B$486)-B346)/(MAX(B$2:B$486)-MIN(B$2:B$486))*100, 2)), "")</f>
        <v/>
      </c>
      <c r="AA346">
        <f>IF(AND(ISNUMBER(X346), ISNUMBER(MIN(X$2:X$486)), ISNUMBER(MAX(X$2:X$486))), IF(MAX(X$2:X$486)=MIN(X$2:X$486), 50, ROUND((MAX(X$2:X$486)-X346)/(MAX(X$2:X$486)-MIN(X$2:X$486))*100, 2)), "")</f>
        <v/>
      </c>
      <c r="AB346">
        <f>IF(AND(ISNUMBER(U346), ISNUMBER(MIN(U$2:U$486)), ISNUMBER(MAX(U$2:U$486))), IF(MAX(U$2:U$486)=MIN(U$2:U$486), 50, ROUND((U346-MIN(U$2:U$486))/(MAX(U$2:U$486)-MIN(U$2:U$486))*100, 2)), "")</f>
        <v/>
      </c>
      <c r="AC346">
        <f>IF(AND(ISNUMBER(Z346), ISNUMBER(AA346), ISNUMBER(AB346)), ROUND((Z346+AA346+AB346)/3, 2), "")</f>
        <v/>
      </c>
    </row>
    <row r="347">
      <c r="A347" t="n">
        <v>167626016</v>
      </c>
      <c r="B347" t="n">
        <v>1700</v>
      </c>
      <c r="C347" t="inlineStr">
        <is>
          <t>£1,700 pcm</t>
        </is>
      </c>
      <c r="D347" t="inlineStr">
        <is>
          <t>monthly</t>
        </is>
      </c>
      <c r="E347" t="inlineStr">
        <is>
          <t>Maisonette</t>
        </is>
      </c>
      <c r="F347" t="n">
        <v>2</v>
      </c>
      <c r="G347" t="n">
        <v>1</v>
      </c>
      <c r="H347" t="inlineStr">
        <is>
          <t>Granville Road, London, E18</t>
        </is>
      </c>
      <c r="I347" t="inlineStr">
        <is>
          <t>We are delighted to present to the market this beautifully maintained split-level first floor apartment, enviably located on the sought-after Granville Road, South Woodford, E18. This spacious home offers a well-balanced layout, featuring two generously sized double bedrooms, a bright and airy re...</t>
        </is>
      </c>
      <c r="J347" t="inlineStr">
        <is>
          <t>https://www.rightmove.co.uk/properties/167626016#/?channel=RES_LET</t>
        </is>
      </c>
      <c r="K347" t="inlineStr">
        <is>
          <t>/property-to-rent/contactBranch.html?propertyId=167626016</t>
        </is>
      </c>
      <c r="L347" t="inlineStr">
        <is>
          <t>Madison Fox, Woodford Green</t>
        </is>
      </c>
      <c r="M347" t="n">
        <v>266474</v>
      </c>
      <c r="N347" t="inlineStr">
        <is>
          <t>Added on 30/09/2025</t>
        </is>
      </c>
      <c r="O347" t="inlineStr">
        <is>
          <t>2025-09-30T16:34:58Z</t>
        </is>
      </c>
      <c r="Q347" t="inlineStr">
        <is>
          <t>E18</t>
        </is>
      </c>
      <c r="R347" t="inlineStr">
        <is>
          <t>2025-10-16T17:42:33.209707</t>
        </is>
      </c>
      <c r="S347" t="inlineStr">
        <is>
          <t>{'let available date': '05/11/2025', 'deposit': '£1,961', 'min. tenancy': 'Ask agent', 'let type': 'Long term', 'furnish type': 'Furnished', 'council tax': 'Ask agent'}</t>
        </is>
      </c>
      <c r="V347" t="b">
        <v>1</v>
      </c>
      <c r="X347" t="n">
        <v>16.36</v>
      </c>
      <c r="Y347" t="n">
        <v>51</v>
      </c>
      <c r="Z347">
        <f>IF(AND(ISNUMBER(B347), ISNUMBER(MIN(B$2:B$486)), ISNUMBER(MAX(B$2:B$486))), IF(MAX(B$2:B$486)=MIN(B$2:B$486), 50, ROUND((MAX(B$2:B$486)-B347)/(MAX(B$2:B$486)-MIN(B$2:B$486))*100, 2)), "")</f>
        <v/>
      </c>
      <c r="AA347">
        <f>IF(AND(ISNUMBER(X347), ISNUMBER(MIN(X$2:X$486)), ISNUMBER(MAX(X$2:X$486))), IF(MAX(X$2:X$486)=MIN(X$2:X$486), 50, ROUND((MAX(X$2:X$486)-X347)/(MAX(X$2:X$486)-MIN(X$2:X$486))*100, 2)), "")</f>
        <v/>
      </c>
      <c r="AB347">
        <f>IF(AND(ISNUMBER(U347), ISNUMBER(MIN(U$2:U$486)), ISNUMBER(MAX(U$2:U$486))), IF(MAX(U$2:U$486)=MIN(U$2:U$486), 50, ROUND((U347-MIN(U$2:U$486))/(MAX(U$2:U$486)-MIN(U$2:U$486))*100, 2)), "")</f>
        <v/>
      </c>
      <c r="AC347">
        <f>IF(AND(ISNUMBER(Z347), ISNUMBER(AA347), ISNUMBER(AB347)), ROUND((Z347+AA347+AB347)/3, 2), "")</f>
        <v/>
      </c>
    </row>
    <row r="348">
      <c r="A348" t="n">
        <v>165991925</v>
      </c>
      <c r="B348" t="n">
        <v>1650</v>
      </c>
      <c r="C348" t="inlineStr">
        <is>
          <t>£1,650 pcm</t>
        </is>
      </c>
      <c r="D348" t="inlineStr">
        <is>
          <t>monthly</t>
        </is>
      </c>
      <c r="E348" t="inlineStr">
        <is>
          <t>Apartment</t>
        </is>
      </c>
      <c r="F348" t="n">
        <v>2</v>
      </c>
      <c r="G348" t="n">
        <v>2</v>
      </c>
      <c r="H348" t="inlineStr">
        <is>
          <t>Woodridge Close, ENFIELD</t>
        </is>
      </c>
      <c r="I348" t="inlineStr">
        <is>
          <t>**Zero Deposit Available**
TWO Bedroom Apartment to rent in the popular Woodridge Close, a short walk from Gordon Hill rail station (Moorgate Line) and local shops. Minimum contract 12 months. Please call for more details. Rent excludes the Tenancy Deposit and any other permitted charges or fee...</t>
        </is>
      </c>
      <c r="J348" t="inlineStr">
        <is>
          <t>https://www.rightmove.co.uk/properties/165991925#/?channel=RES_LET</t>
        </is>
      </c>
      <c r="K348" t="inlineStr">
        <is>
          <t>/property-to-rent/contactBranch.html?propertyId=165991925</t>
        </is>
      </c>
      <c r="L348" t="inlineStr">
        <is>
          <t>Barnfields Estate Agents, Enfield</t>
        </is>
      </c>
      <c r="M348" t="n">
        <v>3843</v>
      </c>
      <c r="N348" t="inlineStr">
        <is>
          <t>Reduced on 30/09/2025</t>
        </is>
      </c>
      <c r="O348" t="inlineStr">
        <is>
          <t>2025-08-20T09:31:41Z</t>
        </is>
      </c>
      <c r="R348" t="inlineStr">
        <is>
          <t>2025-10-16T17:42:33.209713</t>
        </is>
      </c>
      <c r="S348" t="inlineStr">
        <is>
          <t>{'let available date': 'Now', 'deposit': '£1,903', 'min. tenancy': '12 months', 'let type': 'Long term', 'furnish type': 'Ask agent', 'council tax': 'Ask agent'}</t>
        </is>
      </c>
      <c r="V348" t="b">
        <v>1</v>
      </c>
      <c r="X348" t="n">
        <v>22.78</v>
      </c>
      <c r="Y348" t="n">
        <v>60.9</v>
      </c>
      <c r="Z348">
        <f>IF(AND(ISNUMBER(B348), ISNUMBER(MIN(B$2:B$486)), ISNUMBER(MAX(B$2:B$486))), IF(MAX(B$2:B$486)=MIN(B$2:B$486), 50, ROUND((MAX(B$2:B$486)-B348)/(MAX(B$2:B$486)-MIN(B$2:B$486))*100, 2)), "")</f>
        <v/>
      </c>
      <c r="AA348">
        <f>IF(AND(ISNUMBER(X348), ISNUMBER(MIN(X$2:X$486)), ISNUMBER(MAX(X$2:X$486))), IF(MAX(X$2:X$486)=MIN(X$2:X$486), 50, ROUND((MAX(X$2:X$486)-X348)/(MAX(X$2:X$486)-MIN(X$2:X$486))*100, 2)), "")</f>
        <v/>
      </c>
      <c r="AB348">
        <f>IF(AND(ISNUMBER(U348), ISNUMBER(MIN(U$2:U$486)), ISNUMBER(MAX(U$2:U$486))), IF(MAX(U$2:U$486)=MIN(U$2:U$486), 50, ROUND((U348-MIN(U$2:U$486))/(MAX(U$2:U$486)-MIN(U$2:U$486))*100, 2)), "")</f>
        <v/>
      </c>
      <c r="AC348">
        <f>IF(AND(ISNUMBER(Z348), ISNUMBER(AA348), ISNUMBER(AB348)), ROUND((Z348+AA348+AB348)/3, 2), "")</f>
        <v/>
      </c>
    </row>
    <row r="349">
      <c r="A349" t="n">
        <v>167616005</v>
      </c>
      <c r="B349" t="n">
        <v>1750</v>
      </c>
      <c r="C349" t="inlineStr">
        <is>
          <t>£1,750 pcm</t>
        </is>
      </c>
      <c r="D349" t="inlineStr">
        <is>
          <t>monthly</t>
        </is>
      </c>
      <c r="E349" t="inlineStr">
        <is>
          <t>Flat</t>
        </is>
      </c>
      <c r="F349" t="n">
        <v>2</v>
      </c>
      <c r="G349" t="n">
        <v>1</v>
      </c>
      <c r="H349" t="inlineStr">
        <is>
          <t>Stonecot Hill, Sutton</t>
        </is>
      </c>
      <c r="I349" t="inlineStr">
        <is>
          <t>A newly refurbished two bedroom apartment benefiting from a range of energy saving improvements. Gas central heating and double glazing. Lounge, newly fitted kitchen (with dishwasher), two bedrooms, new bathroom. Own garden area. Passing bus routes include the 93 which links to Morden underground.</t>
        </is>
      </c>
      <c r="J349" t="inlineStr">
        <is>
          <t>https://www.rightmove.co.uk/properties/167616005#/?channel=RES_LET</t>
        </is>
      </c>
      <c r="K349" t="inlineStr">
        <is>
          <t>/property-to-rent/contactBranch.html?propertyId=167616005</t>
        </is>
      </c>
      <c r="L349" t="inlineStr">
        <is>
          <t>Drury &amp; Cole, Morden</t>
        </is>
      </c>
      <c r="M349" t="n">
        <v>46667</v>
      </c>
      <c r="N349" t="inlineStr">
        <is>
          <t>Added on 30/09/2025</t>
        </is>
      </c>
      <c r="O349" t="inlineStr">
        <is>
          <t>2025-09-30T14:30:17Z</t>
        </is>
      </c>
      <c r="R349" t="inlineStr">
        <is>
          <t>2025-10-16T17:42:33.209720</t>
        </is>
      </c>
      <c r="S349" t="inlineStr">
        <is>
          <t>{'let available date': 'Now', 'deposit': '£2,019', 'min. tenancy': '12 months', 'let type': 'Long term', 'furnish type': 'Unfurnished', 'council tax': 'Ask agent'}</t>
        </is>
      </c>
      <c r="T349" t="n">
        <v>635</v>
      </c>
      <c r="U349" t="n">
        <v>59</v>
      </c>
      <c r="V349" t="b">
        <v>1</v>
      </c>
      <c r="X349" t="n">
        <v>19.34</v>
      </c>
      <c r="Y349" t="n">
        <v>59.5</v>
      </c>
      <c r="Z349">
        <f>IF(AND(ISNUMBER(B349), ISNUMBER(MIN(B$2:B$486)), ISNUMBER(MAX(B$2:B$486))), IF(MAX(B$2:B$486)=MIN(B$2:B$486), 50, ROUND((MAX(B$2:B$486)-B349)/(MAX(B$2:B$486)-MIN(B$2:B$486))*100, 2)), "")</f>
        <v/>
      </c>
      <c r="AA349">
        <f>IF(AND(ISNUMBER(X349), ISNUMBER(MIN(X$2:X$486)), ISNUMBER(MAX(X$2:X$486))), IF(MAX(X$2:X$486)=MIN(X$2:X$486), 50, ROUND((MAX(X$2:X$486)-X349)/(MAX(X$2:X$486)-MIN(X$2:X$486))*100, 2)), "")</f>
        <v/>
      </c>
      <c r="AB349">
        <f>IF(AND(ISNUMBER(U349), ISNUMBER(MIN(U$2:U$486)), ISNUMBER(MAX(U$2:U$486))), IF(MAX(U$2:U$486)=MIN(U$2:U$486), 50, ROUND((U349-MIN(U$2:U$486))/(MAX(U$2:U$486)-MIN(U$2:U$486))*100, 2)), "")</f>
        <v/>
      </c>
      <c r="AC349">
        <f>IF(AND(ISNUMBER(Z349), ISNUMBER(AA349), ISNUMBER(AB349)), ROUND((Z349+AA349+AB349)/3, 2), "")</f>
        <v/>
      </c>
    </row>
    <row r="350">
      <c r="A350" t="n">
        <v>167609267</v>
      </c>
      <c r="B350" t="n">
        <v>1750</v>
      </c>
      <c r="C350" t="inlineStr">
        <is>
          <t>£1,750 pcm</t>
        </is>
      </c>
      <c r="D350" t="inlineStr">
        <is>
          <t>monthly</t>
        </is>
      </c>
      <c r="E350" t="inlineStr">
        <is>
          <t>Flat</t>
        </is>
      </c>
      <c r="F350" t="n">
        <v>2</v>
      </c>
      <c r="G350" t="n">
        <v>1</v>
      </c>
      <c r="H350" t="inlineStr">
        <is>
          <t>Colney Hatch Lane, Muswell Hill, London, N10</t>
        </is>
      </c>
      <c r="I350" t="inlineStr">
        <is>
          <t>Discover this two-bedroom period loft conversion flat in the desirable N10. This spacious property features a separate reception room and boasts a rear communal garden. Enjoy convenient access to New Southgate Station with local amenties and explore this exceptional opportunity today!</t>
        </is>
      </c>
      <c r="J350" t="inlineStr">
        <is>
          <t>https://www.rightmove.co.uk/properties/167609267#/?channel=RES_LET</t>
        </is>
      </c>
      <c r="K350" t="inlineStr">
        <is>
          <t>/property-to-rent/contactBranch.html?propertyId=167609267</t>
        </is>
      </c>
      <c r="L350" t="inlineStr">
        <is>
          <t>Dimension Estates, London</t>
        </is>
      </c>
      <c r="M350" t="n">
        <v>87953</v>
      </c>
      <c r="N350" t="inlineStr">
        <is>
          <t>Added on 30/09/2025</t>
        </is>
      </c>
      <c r="O350" t="inlineStr">
        <is>
          <t>2025-09-30T12:58:58Z</t>
        </is>
      </c>
      <c r="Q350" t="inlineStr">
        <is>
          <t>N10</t>
        </is>
      </c>
      <c r="R350" t="inlineStr">
        <is>
          <t>2025-10-16T17:42:33.209734</t>
        </is>
      </c>
      <c r="S350" t="inlineStr">
        <is>
          <t>{'let available date': 'Now', 'deposit': '£2,019', 'min. tenancy': '12 months', 'let type': 'Long term', 'furnish type': 'Furnished', 'council tax': 'Ask agent'}</t>
        </is>
      </c>
      <c r="V350" t="b">
        <v>1</v>
      </c>
      <c r="X350" t="n">
        <v>11.21</v>
      </c>
      <c r="Y350" t="n">
        <v>42.9</v>
      </c>
      <c r="Z350">
        <f>IF(AND(ISNUMBER(B350), ISNUMBER(MIN(B$2:B$486)), ISNUMBER(MAX(B$2:B$486))), IF(MAX(B$2:B$486)=MIN(B$2:B$486), 50, ROUND((MAX(B$2:B$486)-B350)/(MAX(B$2:B$486)-MIN(B$2:B$486))*100, 2)), "")</f>
        <v/>
      </c>
      <c r="AA350">
        <f>IF(AND(ISNUMBER(X350), ISNUMBER(MIN(X$2:X$486)), ISNUMBER(MAX(X$2:X$486))), IF(MAX(X$2:X$486)=MIN(X$2:X$486), 50, ROUND((MAX(X$2:X$486)-X350)/(MAX(X$2:X$486)-MIN(X$2:X$486))*100, 2)), "")</f>
        <v/>
      </c>
      <c r="AB350">
        <f>IF(AND(ISNUMBER(U350), ISNUMBER(MIN(U$2:U$486)), ISNUMBER(MAX(U$2:U$486))), IF(MAX(U$2:U$486)=MIN(U$2:U$486), 50, ROUND((U350-MIN(U$2:U$486))/(MAX(U$2:U$486)-MIN(U$2:U$486))*100, 2)), "")</f>
        <v/>
      </c>
      <c r="AC350">
        <f>IF(AND(ISNUMBER(Z350), ISNUMBER(AA350), ISNUMBER(AB350)), ROUND((Z350+AA350+AB350)/3, 2), "")</f>
        <v/>
      </c>
    </row>
    <row r="351">
      <c r="A351" t="n">
        <v>87289872</v>
      </c>
      <c r="B351" t="n">
        <v>1650</v>
      </c>
      <c r="C351" t="inlineStr">
        <is>
          <t>£1,650 pcm</t>
        </is>
      </c>
      <c r="D351" t="inlineStr">
        <is>
          <t>monthly</t>
        </is>
      </c>
      <c r="E351" t="inlineStr">
        <is>
          <t>Flat</t>
        </is>
      </c>
      <c r="F351" t="n">
        <v>2</v>
      </c>
      <c r="G351" t="n">
        <v>1</v>
      </c>
      <c r="H351" t="inlineStr">
        <is>
          <t>Avenue Road, London</t>
        </is>
      </c>
      <c r="I351" t="inlineStr">
        <is>
          <t>Well presented TWO BEDROOM FIRST FLOOR MAISONETTE offering two bedrooms, lounge, newly fitted kitchen, newly fitted bathroom, gas central heating, double glazing and private garden. Situated within easy reach of Southgate with tube station, shops and restaurants. Partly furnished. Available from...</t>
        </is>
      </c>
      <c r="J351" t="inlineStr">
        <is>
          <t>https://www.rightmove.co.uk/properties/87289872#/?channel=RES_LET</t>
        </is>
      </c>
      <c r="K351" t="inlineStr">
        <is>
          <t>/property-to-rent/contactBranch.html?propertyId=87289872</t>
        </is>
      </c>
      <c r="L351" t="inlineStr">
        <is>
          <t>Rash &amp; Rash, London</t>
        </is>
      </c>
      <c r="M351" t="n">
        <v>39554</v>
      </c>
      <c r="N351" t="inlineStr">
        <is>
          <t>Added on 30/09/2025</t>
        </is>
      </c>
      <c r="O351" t="inlineStr">
        <is>
          <t>2025-10-14T10:10:09Z</t>
        </is>
      </c>
      <c r="R351" t="inlineStr">
        <is>
          <t>2025-10-16T17:42:33.209742</t>
        </is>
      </c>
      <c r="S351" t="inlineStr">
        <is>
          <t>{'let available date': 'Now', 'deposit': '£1,903', 'min. tenancy': 'Ask agent', 'let type': 'Long term', 'furnish type': 'Part furnished', 'council tax': 'Ask agent'}</t>
        </is>
      </c>
      <c r="V351" t="b">
        <v>1</v>
      </c>
      <c r="X351" t="n">
        <v>5.81</v>
      </c>
      <c r="Y351" t="n">
        <v>24.9</v>
      </c>
      <c r="Z351">
        <f>IF(AND(ISNUMBER(B351), ISNUMBER(MIN(B$2:B$486)), ISNUMBER(MAX(B$2:B$486))), IF(MAX(B$2:B$486)=MIN(B$2:B$486), 50, ROUND((MAX(B$2:B$486)-B351)/(MAX(B$2:B$486)-MIN(B$2:B$486))*100, 2)), "")</f>
        <v/>
      </c>
      <c r="AA351">
        <f>IF(AND(ISNUMBER(X351), ISNUMBER(MIN(X$2:X$486)), ISNUMBER(MAX(X$2:X$486))), IF(MAX(X$2:X$486)=MIN(X$2:X$486), 50, ROUND((MAX(X$2:X$486)-X351)/(MAX(X$2:X$486)-MIN(X$2:X$486))*100, 2)), "")</f>
        <v/>
      </c>
      <c r="AB351">
        <f>IF(AND(ISNUMBER(U351), ISNUMBER(MIN(U$2:U$486)), ISNUMBER(MAX(U$2:U$486))), IF(MAX(U$2:U$486)=MIN(U$2:U$486), 50, ROUND((U351-MIN(U$2:U$486))/(MAX(U$2:U$486)-MIN(U$2:U$486))*100, 2)), "")</f>
        <v/>
      </c>
      <c r="AC351">
        <f>IF(AND(ISNUMBER(Z351), ISNUMBER(AA351), ISNUMBER(AB351)), ROUND((Z351+AA351+AB351)/3, 2), "")</f>
        <v/>
      </c>
    </row>
    <row r="352">
      <c r="A352" t="n">
        <v>167599919</v>
      </c>
      <c r="B352" t="n">
        <v>1750</v>
      </c>
      <c r="C352" t="inlineStr">
        <is>
          <t>£1,750 pcm</t>
        </is>
      </c>
      <c r="D352" t="inlineStr">
        <is>
          <t>monthly</t>
        </is>
      </c>
      <c r="E352" t="inlineStr">
        <is>
          <t>Apartment</t>
        </is>
      </c>
      <c r="F352" t="n">
        <v>2</v>
      </c>
      <c r="G352" t="n">
        <v>1</v>
      </c>
      <c r="H352" t="inlineStr">
        <is>
          <t>Portland Road, London, SE25</t>
        </is>
      </c>
      <c r="I352" t="inlineStr">
        <is>
          <t xml:space="preserve">Stunning New-Build 2-Bedroom Maisonette with Private Terrace | Mews-Style Development | SE25 | £1,750pcm | Available Immediately </t>
        </is>
      </c>
      <c r="J352" t="inlineStr">
        <is>
          <t>https://www.rightmove.co.uk/properties/167599919#/?channel=RES_LET</t>
        </is>
      </c>
      <c r="K352" t="inlineStr">
        <is>
          <t>/property-to-rent/contactBranch.html?propertyId=167599919</t>
        </is>
      </c>
      <c r="L352" t="inlineStr">
        <is>
          <t>Streets Ahead, South Norwood</t>
        </is>
      </c>
      <c r="M352" t="n">
        <v>181634</v>
      </c>
      <c r="N352" t="inlineStr">
        <is>
          <t>Added on 30/09/2025</t>
        </is>
      </c>
      <c r="O352" t="inlineStr">
        <is>
          <t>2025-09-30T11:28:03Z</t>
        </is>
      </c>
      <c r="Q352" t="inlineStr">
        <is>
          <t>SE25</t>
        </is>
      </c>
      <c r="R352" t="inlineStr">
        <is>
          <t>2025-10-16T17:42:33.209748</t>
        </is>
      </c>
      <c r="S352" t="inlineStr">
        <is>
          <t>{'let available date': 'Now', 'deposit': '£2,019', 'min. tenancy': 'Ask agent', 'let type': 'Long term', 'furnish type': 'Unfurnished', 'council tax': 'Ask agent'}</t>
        </is>
      </c>
      <c r="V352" t="b">
        <v>1</v>
      </c>
      <c r="X352" t="n">
        <v>16.69</v>
      </c>
      <c r="Y352" t="n">
        <v>52.9</v>
      </c>
      <c r="Z352">
        <f>IF(AND(ISNUMBER(B352), ISNUMBER(MIN(B$2:B$486)), ISNUMBER(MAX(B$2:B$486))), IF(MAX(B$2:B$486)=MIN(B$2:B$486), 50, ROUND((MAX(B$2:B$486)-B352)/(MAX(B$2:B$486)-MIN(B$2:B$486))*100, 2)), "")</f>
        <v/>
      </c>
      <c r="AA352">
        <f>IF(AND(ISNUMBER(X352), ISNUMBER(MIN(X$2:X$486)), ISNUMBER(MAX(X$2:X$486))), IF(MAX(X$2:X$486)=MIN(X$2:X$486), 50, ROUND((MAX(X$2:X$486)-X352)/(MAX(X$2:X$486)-MIN(X$2:X$486))*100, 2)), "")</f>
        <v/>
      </c>
      <c r="AB352">
        <f>IF(AND(ISNUMBER(U352), ISNUMBER(MIN(U$2:U$486)), ISNUMBER(MAX(U$2:U$486))), IF(MAX(U$2:U$486)=MIN(U$2:U$486), 50, ROUND((U352-MIN(U$2:U$486))/(MAX(U$2:U$486)-MIN(U$2:U$486))*100, 2)), "")</f>
        <v/>
      </c>
      <c r="AC352">
        <f>IF(AND(ISNUMBER(Z352), ISNUMBER(AA352), ISNUMBER(AB352)), ROUND((Z352+AA352+AB352)/3, 2), "")</f>
        <v/>
      </c>
    </row>
    <row r="353">
      <c r="A353" t="n">
        <v>167597744</v>
      </c>
      <c r="B353" t="n">
        <v>1750</v>
      </c>
      <c r="C353" t="inlineStr">
        <is>
          <t>£1,750 pcm</t>
        </is>
      </c>
      <c r="D353" t="inlineStr">
        <is>
          <t>monthly</t>
        </is>
      </c>
      <c r="E353" t="inlineStr">
        <is>
          <t>Apartment</t>
        </is>
      </c>
      <c r="F353" t="n">
        <v>2</v>
      </c>
      <c r="G353" t="n">
        <v>1</v>
      </c>
      <c r="H353" t="inlineStr">
        <is>
          <t>Leigh Court, 30 High View Road, London, SE19</t>
        </is>
      </c>
      <c r="I353" t="inlineStr">
        <is>
          <t>A modern two bedroom flat located on the ground floor of this purpose-built development in Crystal Palace. The property comprises entrance hallway, reception with dual aspect windows allowing for an abundance of natural light. Separate modern kitchen, good sized double bedroom, second...</t>
        </is>
      </c>
      <c r="J353" t="inlineStr">
        <is>
          <t>https://www.rightmove.co.uk/properties/167597744#/?channel=RES_LET</t>
        </is>
      </c>
      <c r="K353" t="inlineStr">
        <is>
          <t>/property-to-rent/contactBranch.html?propertyId=167597744</t>
        </is>
      </c>
      <c r="L353" t="inlineStr">
        <is>
          <t>Winkworth Crystal Palace, Crystal Palace</t>
        </is>
      </c>
      <c r="M353" t="n">
        <v>68930</v>
      </c>
      <c r="N353" t="inlineStr">
        <is>
          <t>Added on 30/09/2025</t>
        </is>
      </c>
      <c r="O353" t="inlineStr">
        <is>
          <t>2025-09-30T11:05:45Z</t>
        </is>
      </c>
      <c r="Q353" t="inlineStr">
        <is>
          <t>SE19</t>
        </is>
      </c>
      <c r="R353" t="inlineStr">
        <is>
          <t>2025-10-16T17:42:33.209755</t>
        </is>
      </c>
      <c r="S353" t="inlineStr">
        <is>
          <t>{'let available date': 'Now', 'deposit': '£0', 'min. tenancy': 'Ask agent', 'let type': 'Long term', 'furnish type': 'Part furnished', 'council tax': 'Ask agent'}</t>
        </is>
      </c>
      <c r="V353" t="b">
        <v>1</v>
      </c>
      <c r="X353" t="n">
        <v>14</v>
      </c>
      <c r="Y353" t="n">
        <v>46.6</v>
      </c>
      <c r="Z353">
        <f>IF(AND(ISNUMBER(B353), ISNUMBER(MIN(B$2:B$486)), ISNUMBER(MAX(B$2:B$486))), IF(MAX(B$2:B$486)=MIN(B$2:B$486), 50, ROUND((MAX(B$2:B$486)-B353)/(MAX(B$2:B$486)-MIN(B$2:B$486))*100, 2)), "")</f>
        <v/>
      </c>
      <c r="AA353">
        <f>IF(AND(ISNUMBER(X353), ISNUMBER(MIN(X$2:X$486)), ISNUMBER(MAX(X$2:X$486))), IF(MAX(X$2:X$486)=MIN(X$2:X$486), 50, ROUND((MAX(X$2:X$486)-X353)/(MAX(X$2:X$486)-MIN(X$2:X$486))*100, 2)), "")</f>
        <v/>
      </c>
      <c r="AB353">
        <f>IF(AND(ISNUMBER(U353), ISNUMBER(MIN(U$2:U$486)), ISNUMBER(MAX(U$2:U$486))), IF(MAX(U$2:U$486)=MIN(U$2:U$486), 50, ROUND((U353-MIN(U$2:U$486))/(MAX(U$2:U$486)-MIN(U$2:U$486))*100, 2)), "")</f>
        <v/>
      </c>
      <c r="AC353">
        <f>IF(AND(ISNUMBER(Z353), ISNUMBER(AA353), ISNUMBER(AB353)), ROUND((Z353+AA353+AB353)/3, 2), "")</f>
        <v/>
      </c>
    </row>
    <row r="354">
      <c r="A354" t="n">
        <v>86989830</v>
      </c>
      <c r="B354" t="n">
        <v>1650</v>
      </c>
      <c r="C354" t="inlineStr">
        <is>
          <t>£1,650 pcm</t>
        </is>
      </c>
      <c r="D354" t="inlineStr">
        <is>
          <t>monthly</t>
        </is>
      </c>
      <c r="E354" t="inlineStr">
        <is>
          <t>Ground Flat</t>
        </is>
      </c>
      <c r="F354" t="n">
        <v>2</v>
      </c>
      <c r="H354" t="inlineStr">
        <is>
          <t>Maple Road, Anerley, SE20</t>
        </is>
      </c>
      <c r="I354" t="inlineStr">
        <is>
          <t>A beautiful two bedroom ground floor flat comprising an open plan kitchen/ reception leading to communal garden, bathroom is a three piece suite with over bath power shower. Available early Now / Unfurnished</t>
        </is>
      </c>
      <c r="J354" t="inlineStr">
        <is>
          <t>https://www.rightmove.co.uk/properties/86989830#/?channel=RES_LET</t>
        </is>
      </c>
      <c r="K354" t="inlineStr">
        <is>
          <t>/property-to-rent/contactBranch.html?propertyId=86989830</t>
        </is>
      </c>
      <c r="L354" t="inlineStr">
        <is>
          <t>Macks Properties Ltd, Bickley</t>
        </is>
      </c>
      <c r="M354" t="n">
        <v>107212</v>
      </c>
      <c r="N354" t="inlineStr">
        <is>
          <t>Added on 30/09/2025</t>
        </is>
      </c>
      <c r="O354" t="inlineStr">
        <is>
          <t>2024-08-30T09:54:33Z</t>
        </is>
      </c>
      <c r="Q354" t="inlineStr">
        <is>
          <t>SE20</t>
        </is>
      </c>
      <c r="R354" t="inlineStr">
        <is>
          <t>2025-10-16T17:42:33.209762</t>
        </is>
      </c>
      <c r="S354" t="inlineStr">
        <is>
          <t>{'let available date': 'Now', 'deposit': 'Ask agent', 'min. tenancy': 'Ask agent', 'let type': 'Long term', 'furnish type': 'Unfurnished', 'council tax': 'Ask agent'}</t>
        </is>
      </c>
      <c r="T354" t="n">
        <v>769</v>
      </c>
      <c r="U354" t="n">
        <v>71</v>
      </c>
      <c r="V354" t="b">
        <v>1</v>
      </c>
      <c r="X354" t="n">
        <v>15.17</v>
      </c>
      <c r="Y354" t="n">
        <v>49.5</v>
      </c>
      <c r="Z354">
        <f>IF(AND(ISNUMBER(B354), ISNUMBER(MIN(B$2:B$486)), ISNUMBER(MAX(B$2:B$486))), IF(MAX(B$2:B$486)=MIN(B$2:B$486), 50, ROUND((MAX(B$2:B$486)-B354)/(MAX(B$2:B$486)-MIN(B$2:B$486))*100, 2)), "")</f>
        <v/>
      </c>
      <c r="AA354">
        <f>IF(AND(ISNUMBER(X354), ISNUMBER(MIN(X$2:X$486)), ISNUMBER(MAX(X$2:X$486))), IF(MAX(X$2:X$486)=MIN(X$2:X$486), 50, ROUND((MAX(X$2:X$486)-X354)/(MAX(X$2:X$486)-MIN(X$2:X$486))*100, 2)), "")</f>
        <v/>
      </c>
      <c r="AB354">
        <f>IF(AND(ISNUMBER(U354), ISNUMBER(MIN(U$2:U$486)), ISNUMBER(MAX(U$2:U$486))), IF(MAX(U$2:U$486)=MIN(U$2:U$486), 50, ROUND((U354-MIN(U$2:U$486))/(MAX(U$2:U$486)-MIN(U$2:U$486))*100, 2)), "")</f>
        <v/>
      </c>
      <c r="AC354">
        <f>IF(AND(ISNUMBER(Z354), ISNUMBER(AA354), ISNUMBER(AB354)), ROUND((Z354+AA354+AB354)/3, 2), "")</f>
        <v/>
      </c>
    </row>
    <row r="355">
      <c r="A355" t="n">
        <v>167273918</v>
      </c>
      <c r="B355" t="n">
        <v>1750</v>
      </c>
      <c r="C355" t="inlineStr">
        <is>
          <t>£1,750 pcm</t>
        </is>
      </c>
      <c r="D355" t="inlineStr">
        <is>
          <t>monthly</t>
        </is>
      </c>
      <c r="E355" t="inlineStr">
        <is>
          <t>Flat</t>
        </is>
      </c>
      <c r="F355" t="n">
        <v>2</v>
      </c>
      <c r="G355" t="n">
        <v>1</v>
      </c>
      <c r="H355" t="inlineStr">
        <is>
          <t>Donald Woods Gardens, Surbiton</t>
        </is>
      </c>
      <c r="I355" t="inlineStr">
        <is>
          <t>Finish to a high standard throughout, is this two double bedroom apartment comes with an open plan living room, an allocated parking space as well as private loft access for additional storage.</t>
        </is>
      </c>
      <c r="J355" t="inlineStr">
        <is>
          <t>https://www.rightmove.co.uk/properties/167273918#/?channel=RES_LET</t>
        </is>
      </c>
      <c r="K355" t="inlineStr">
        <is>
          <t>/property-to-rent/contactBranch.html?propertyId=167273918</t>
        </is>
      </c>
      <c r="L355" t="inlineStr">
        <is>
          <t>Dexters, Surbiton</t>
        </is>
      </c>
      <c r="M355" t="n">
        <v>84812</v>
      </c>
      <c r="N355" t="inlineStr">
        <is>
          <t>Reduced on 30/09/2025</t>
        </is>
      </c>
      <c r="O355" t="inlineStr">
        <is>
          <t>2025-09-22T16:07:33Z</t>
        </is>
      </c>
      <c r="R355" t="inlineStr">
        <is>
          <t>2025-10-16T17:42:33.209769</t>
        </is>
      </c>
      <c r="S355" t="inlineStr">
        <is>
          <t>{'let available date': 'Ask agent', 'deposit': '£2,135', 'min. tenancy': 'Ask agent', 'let type': 'Long term', 'furnish type': 'Unfurnished', 'council tax': 'Ask agent'}</t>
        </is>
      </c>
      <c r="V355" t="b">
        <v>1</v>
      </c>
      <c r="X355" t="n">
        <v>25.21</v>
      </c>
      <c r="Y355" t="n">
        <v>61.3</v>
      </c>
      <c r="Z355">
        <f>IF(AND(ISNUMBER(B355), ISNUMBER(MIN(B$2:B$486)), ISNUMBER(MAX(B$2:B$486))), IF(MAX(B$2:B$486)=MIN(B$2:B$486), 50, ROUND((MAX(B$2:B$486)-B355)/(MAX(B$2:B$486)-MIN(B$2:B$486))*100, 2)), "")</f>
        <v/>
      </c>
      <c r="AA355">
        <f>IF(AND(ISNUMBER(X355), ISNUMBER(MIN(X$2:X$486)), ISNUMBER(MAX(X$2:X$486))), IF(MAX(X$2:X$486)=MIN(X$2:X$486), 50, ROUND((MAX(X$2:X$486)-X355)/(MAX(X$2:X$486)-MIN(X$2:X$486))*100, 2)), "")</f>
        <v/>
      </c>
      <c r="AB355">
        <f>IF(AND(ISNUMBER(U355), ISNUMBER(MIN(U$2:U$486)), ISNUMBER(MAX(U$2:U$486))), IF(MAX(U$2:U$486)=MIN(U$2:U$486), 50, ROUND((U355-MIN(U$2:U$486))/(MAX(U$2:U$486)-MIN(U$2:U$486))*100, 2)), "")</f>
        <v/>
      </c>
      <c r="AC355">
        <f>IF(AND(ISNUMBER(Z355), ISNUMBER(AA355), ISNUMBER(AB355)), ROUND((Z355+AA355+AB355)/3, 2), "")</f>
        <v/>
      </c>
    </row>
    <row r="356">
      <c r="A356" t="n">
        <v>167364935</v>
      </c>
      <c r="B356" t="n">
        <v>1600</v>
      </c>
      <c r="C356" t="inlineStr">
        <is>
          <t>£1,600 pcm</t>
        </is>
      </c>
      <c r="D356" t="inlineStr">
        <is>
          <t>monthly</t>
        </is>
      </c>
      <c r="E356" t="inlineStr">
        <is>
          <t>Terraced</t>
        </is>
      </c>
      <c r="F356" t="n">
        <v>2</v>
      </c>
      <c r="G356" t="n">
        <v>1</v>
      </c>
      <c r="H356" t="inlineStr">
        <is>
          <t>St Georges Close, London, SE28 8QE</t>
        </is>
      </c>
      <c r="I356" t="inlineStr">
        <is>
          <t>LettingaProperty are thrilled to offer this 2 bedroom property to rent, located in an area of London with good transport links to Central London and London airports. This freshly decorated property is available from 18 November for potentially a long term tenancy for the suitable family.</t>
        </is>
      </c>
      <c r="J356" t="inlineStr">
        <is>
          <t>https://www.rightmove.co.uk/properties/167364935#/?channel=RES_LET</t>
        </is>
      </c>
      <c r="K356" t="inlineStr">
        <is>
          <t>/property-to-rent/contactBranch.html?propertyId=167364935</t>
        </is>
      </c>
      <c r="L356" t="inlineStr">
        <is>
          <t>LettingaProperty.com, Nationwide - Lettings</t>
        </is>
      </c>
      <c r="M356" t="n">
        <v>80105</v>
      </c>
      <c r="N356" t="inlineStr">
        <is>
          <t>Reduced on 30/09/2025</t>
        </is>
      </c>
      <c r="O356" t="inlineStr">
        <is>
          <t>2025-09-24T13:33:48Z</t>
        </is>
      </c>
      <c r="Q356" t="inlineStr">
        <is>
          <t>SE28</t>
        </is>
      </c>
      <c r="R356" t="inlineStr">
        <is>
          <t>2025-10-16T17:42:33.209777</t>
        </is>
      </c>
      <c r="S356" t="inlineStr">
        <is>
          <t>{'let available date': '18/11/2025', 'deposit': '£1,846', 'min. tenancy': '12 months', 'let type': 'Long term', 'furnish type': 'Unfurnished', 'council tax': 'Ask agent'}</t>
        </is>
      </c>
      <c r="V356" t="b">
        <v>1</v>
      </c>
      <c r="X356" t="n">
        <v>23.84</v>
      </c>
      <c r="Y356" t="n">
        <v>60</v>
      </c>
      <c r="Z356">
        <f>IF(AND(ISNUMBER(B356), ISNUMBER(MIN(B$2:B$486)), ISNUMBER(MAX(B$2:B$486))), IF(MAX(B$2:B$486)=MIN(B$2:B$486), 50, ROUND((MAX(B$2:B$486)-B356)/(MAX(B$2:B$486)-MIN(B$2:B$486))*100, 2)), "")</f>
        <v/>
      </c>
      <c r="AA356">
        <f>IF(AND(ISNUMBER(X356), ISNUMBER(MIN(X$2:X$486)), ISNUMBER(MAX(X$2:X$486))), IF(MAX(X$2:X$486)=MIN(X$2:X$486), 50, ROUND((MAX(X$2:X$486)-X356)/(MAX(X$2:X$486)-MIN(X$2:X$486))*100, 2)), "")</f>
        <v/>
      </c>
      <c r="AB356">
        <f>IF(AND(ISNUMBER(U356), ISNUMBER(MIN(U$2:U$486)), ISNUMBER(MAX(U$2:U$486))), IF(MAX(U$2:U$486)=MIN(U$2:U$486), 50, ROUND((U356-MIN(U$2:U$486))/(MAX(U$2:U$486)-MIN(U$2:U$486))*100, 2)), "")</f>
        <v/>
      </c>
      <c r="AC356">
        <f>IF(AND(ISNUMBER(Z356), ISNUMBER(AA356), ISNUMBER(AB356)), ROUND((Z356+AA356+AB356)/3, 2), "")</f>
        <v/>
      </c>
    </row>
    <row r="357">
      <c r="A357" t="n">
        <v>167583440</v>
      </c>
      <c r="B357" t="n">
        <v>1750</v>
      </c>
      <c r="C357" t="inlineStr">
        <is>
          <t>£1,750 pcm</t>
        </is>
      </c>
      <c r="D357" t="inlineStr">
        <is>
          <t>monthly</t>
        </is>
      </c>
      <c r="E357" t="inlineStr">
        <is>
          <t>Flat</t>
        </is>
      </c>
      <c r="F357" t="n">
        <v>2</v>
      </c>
      <c r="G357" t="n">
        <v>1</v>
      </c>
      <c r="H357" t="inlineStr">
        <is>
          <t>Grove Crescent Road, London, E15</t>
        </is>
      </c>
      <c r="I357" t="inlineStr">
        <is>
          <t>Located in the heart of Stratford, just moments from Westfield Shopping Centre and excellent transport links, this well-presented two-bedroom apartment offers a fantastic opportunity for comfortab... ** Property Reference: 1877996 **</t>
        </is>
      </c>
      <c r="J357" t="inlineStr">
        <is>
          <t>https://www.rightmove.co.uk/properties/167583440#/?channel=RES_LET</t>
        </is>
      </c>
      <c r="K357" t="inlineStr">
        <is>
          <t>/property-to-rent/contactBranch.html?propertyId=167583440</t>
        </is>
      </c>
      <c r="L357" t="inlineStr">
        <is>
          <t>OpenRent, London</t>
        </is>
      </c>
      <c r="M357" t="n">
        <v>96668</v>
      </c>
      <c r="N357" t="inlineStr">
        <is>
          <t>Added on 29/09/2025</t>
        </is>
      </c>
      <c r="O357" t="inlineStr">
        <is>
          <t>2025-09-29T23:10:04Z</t>
        </is>
      </c>
      <c r="Q357" t="inlineStr">
        <is>
          <t>E15</t>
        </is>
      </c>
      <c r="R357" t="inlineStr">
        <is>
          <t>2025-10-16T17:42:33.209783</t>
        </is>
      </c>
      <c r="S357" t="inlineStr">
        <is>
          <t>{'let available date': 'Now', 'deposit': '£2,019', 'min. tenancy': 'Ask agent', 'let type': 'Long term', 'furnish type': 'Unfurnished', 'council tax': 'Ask agent'}</t>
        </is>
      </c>
      <c r="V357" t="b">
        <v>1</v>
      </c>
      <c r="X357" t="n">
        <v>11.5</v>
      </c>
      <c r="Y357" t="n">
        <v>47.3</v>
      </c>
      <c r="Z357">
        <f>IF(AND(ISNUMBER(B357), ISNUMBER(MIN(B$2:B$486)), ISNUMBER(MAX(B$2:B$486))), IF(MAX(B$2:B$486)=MIN(B$2:B$486), 50, ROUND((MAX(B$2:B$486)-B357)/(MAX(B$2:B$486)-MIN(B$2:B$486))*100, 2)), "")</f>
        <v/>
      </c>
      <c r="AA357">
        <f>IF(AND(ISNUMBER(X357), ISNUMBER(MIN(X$2:X$486)), ISNUMBER(MAX(X$2:X$486))), IF(MAX(X$2:X$486)=MIN(X$2:X$486), 50, ROUND((MAX(X$2:X$486)-X357)/(MAX(X$2:X$486)-MIN(X$2:X$486))*100, 2)), "")</f>
        <v/>
      </c>
      <c r="AB357">
        <f>IF(AND(ISNUMBER(U357), ISNUMBER(MIN(U$2:U$486)), ISNUMBER(MAX(U$2:U$486))), IF(MAX(U$2:U$486)=MIN(U$2:U$486), 50, ROUND((U357-MIN(U$2:U$486))/(MAX(U$2:U$486)-MIN(U$2:U$486))*100, 2)), "")</f>
        <v/>
      </c>
      <c r="AC357">
        <f>IF(AND(ISNUMBER(Z357), ISNUMBER(AA357), ISNUMBER(AB357)), ROUND((Z357+AA357+AB357)/3, 2), "")</f>
        <v/>
      </c>
    </row>
    <row r="358">
      <c r="A358" t="n">
        <v>167580551</v>
      </c>
      <c r="B358" t="n">
        <v>1750</v>
      </c>
      <c r="C358" t="inlineStr">
        <is>
          <t>£1,750 pcm</t>
        </is>
      </c>
      <c r="D358" t="inlineStr">
        <is>
          <t>monthly</t>
        </is>
      </c>
      <c r="E358" t="inlineStr">
        <is>
          <t>Flat</t>
        </is>
      </c>
      <c r="F358" t="n">
        <v>2</v>
      </c>
      <c r="G358" t="n">
        <v>1</v>
      </c>
      <c r="H358" t="inlineStr">
        <is>
          <t>Chaucer Way, Colliers Wood</t>
        </is>
      </c>
      <c r="I358" t="inlineStr">
        <is>
          <t>A two double bedroom, first floor purpose built apartment. The property is presented in a beautiful condition, there are communal gardens and off-street parking for one vehicle.</t>
        </is>
      </c>
      <c r="J358" t="inlineStr">
        <is>
          <t>https://www.rightmove.co.uk/properties/167580551#/?channel=RES_LET</t>
        </is>
      </c>
      <c r="K358" t="inlineStr">
        <is>
          <t>/property-to-rent/contactBranch.html?propertyId=167580551</t>
        </is>
      </c>
      <c r="L358" t="inlineStr">
        <is>
          <t>Dexters, Wimbledon</t>
        </is>
      </c>
      <c r="M358" t="n">
        <v>84878</v>
      </c>
      <c r="N358" t="inlineStr">
        <is>
          <t>Added on 29/09/2025</t>
        </is>
      </c>
      <c r="O358" t="inlineStr">
        <is>
          <t>2025-09-29T18:48:31Z</t>
        </is>
      </c>
      <c r="R358" t="inlineStr">
        <is>
          <t>2025-10-16T17:42:33.209790</t>
        </is>
      </c>
      <c r="S358" t="inlineStr">
        <is>
          <t>{'let available date': 'Ask agent', 'deposit': '£2,019', 'min. tenancy': 'Ask agent', 'let type': 'Long term', 'furnish type': 'Unfurnished', 'council tax': 'Ask agent'}</t>
        </is>
      </c>
      <c r="V358" t="b">
        <v>1</v>
      </c>
      <c r="X358" t="n">
        <v>14.44</v>
      </c>
      <c r="Y358" t="n">
        <v>50.8</v>
      </c>
      <c r="Z358">
        <f>IF(AND(ISNUMBER(B358), ISNUMBER(MIN(B$2:B$486)), ISNUMBER(MAX(B$2:B$486))), IF(MAX(B$2:B$486)=MIN(B$2:B$486), 50, ROUND((MAX(B$2:B$486)-B358)/(MAX(B$2:B$486)-MIN(B$2:B$486))*100, 2)), "")</f>
        <v/>
      </c>
      <c r="AA358">
        <f>IF(AND(ISNUMBER(X358), ISNUMBER(MIN(X$2:X$486)), ISNUMBER(MAX(X$2:X$486))), IF(MAX(X$2:X$486)=MIN(X$2:X$486), 50, ROUND((MAX(X$2:X$486)-X358)/(MAX(X$2:X$486)-MIN(X$2:X$486))*100, 2)), "")</f>
        <v/>
      </c>
      <c r="AB358">
        <f>IF(AND(ISNUMBER(U358), ISNUMBER(MIN(U$2:U$486)), ISNUMBER(MAX(U$2:U$486))), IF(MAX(U$2:U$486)=MIN(U$2:U$486), 50, ROUND((U358-MIN(U$2:U$486))/(MAX(U$2:U$486)-MIN(U$2:U$486))*100, 2)), "")</f>
        <v/>
      </c>
      <c r="AC358">
        <f>IF(AND(ISNUMBER(Z358), ISNUMBER(AA358), ISNUMBER(AB358)), ROUND((Z358+AA358+AB358)/3, 2), "")</f>
        <v/>
      </c>
    </row>
    <row r="359">
      <c r="A359" t="n">
        <v>168246179</v>
      </c>
      <c r="B359" t="n">
        <v>1700</v>
      </c>
      <c r="C359" t="inlineStr">
        <is>
          <t>£1,700 pcm</t>
        </is>
      </c>
      <c r="D359" t="inlineStr">
        <is>
          <t>monthly</t>
        </is>
      </c>
      <c r="E359" t="inlineStr">
        <is>
          <t>Flat</t>
        </is>
      </c>
      <c r="F359" t="n">
        <v>2</v>
      </c>
      <c r="G359" t="n">
        <v>1</v>
      </c>
      <c r="H359" t="inlineStr">
        <is>
          <t>Meads Court, London, E15</t>
        </is>
      </c>
      <c r="I359" t="inlineStr">
        <is>
          <t>Please note minimum tenancy duration is 12 Months The property: new to the market is this bright &amp; newly renovated 2 bedroom flat available in the Stratford area .The property benefits from a... ** Property Reference: 2641537 **</t>
        </is>
      </c>
      <c r="J359" t="inlineStr">
        <is>
          <t>https://www.rightmove.co.uk/properties/168246179#/?channel=RES_LET</t>
        </is>
      </c>
      <c r="K359" t="inlineStr">
        <is>
          <t>/property-to-rent/contactBranch.html?propertyId=168246179</t>
        </is>
      </c>
      <c r="L359" t="inlineStr">
        <is>
          <t>OpenRent, London</t>
        </is>
      </c>
      <c r="M359" t="n">
        <v>96668</v>
      </c>
      <c r="N359" t="inlineStr">
        <is>
          <t>Added on 29/09/2025</t>
        </is>
      </c>
      <c r="O359" t="inlineStr">
        <is>
          <t>2025-10-16T10:21:16Z</t>
        </is>
      </c>
      <c r="Q359" t="inlineStr">
        <is>
          <t>E15</t>
        </is>
      </c>
      <c r="R359" t="inlineStr">
        <is>
          <t>2025-10-16T17:42:33.209797</t>
        </is>
      </c>
      <c r="S359" t="inlineStr">
        <is>
          <t>{'let available date': 'Now', 'deposit': '£1,962', 'min. tenancy': 'Ask agent', 'let type': 'Long term', 'furnish type': 'Unfurnished', 'council tax': 'Ask agent'}</t>
        </is>
      </c>
      <c r="V359" t="b">
        <v>1</v>
      </c>
      <c r="X359" t="n">
        <v>11.5</v>
      </c>
      <c r="Y359" t="n">
        <v>47.3</v>
      </c>
      <c r="Z359">
        <f>IF(AND(ISNUMBER(B359), ISNUMBER(MIN(B$2:B$486)), ISNUMBER(MAX(B$2:B$486))), IF(MAX(B$2:B$486)=MIN(B$2:B$486), 50, ROUND((MAX(B$2:B$486)-B359)/(MAX(B$2:B$486)-MIN(B$2:B$486))*100, 2)), "")</f>
        <v/>
      </c>
      <c r="AA359">
        <f>IF(AND(ISNUMBER(X359), ISNUMBER(MIN(X$2:X$486)), ISNUMBER(MAX(X$2:X$486))), IF(MAX(X$2:X$486)=MIN(X$2:X$486), 50, ROUND((MAX(X$2:X$486)-X359)/(MAX(X$2:X$486)-MIN(X$2:X$486))*100, 2)), "")</f>
        <v/>
      </c>
      <c r="AB359">
        <f>IF(AND(ISNUMBER(U359), ISNUMBER(MIN(U$2:U$486)), ISNUMBER(MAX(U$2:U$486))), IF(MAX(U$2:U$486)=MIN(U$2:U$486), 50, ROUND((U359-MIN(U$2:U$486))/(MAX(U$2:U$486)-MIN(U$2:U$486))*100, 2)), "")</f>
        <v/>
      </c>
      <c r="AC359">
        <f>IF(AND(ISNUMBER(Z359), ISNUMBER(AA359), ISNUMBER(AB359)), ROUND((Z359+AA359+AB359)/3, 2), "")</f>
        <v/>
      </c>
    </row>
    <row r="360">
      <c r="A360" t="n">
        <v>167575409</v>
      </c>
      <c r="B360" t="n">
        <v>1700</v>
      </c>
      <c r="C360" t="inlineStr">
        <is>
          <t>£1,700 pcm</t>
        </is>
      </c>
      <c r="D360" t="inlineStr">
        <is>
          <t>monthly</t>
        </is>
      </c>
      <c r="E360" t="inlineStr">
        <is>
          <t>Maisonette</t>
        </is>
      </c>
      <c r="F360" t="n">
        <v>2</v>
      </c>
      <c r="G360" t="n">
        <v>1</v>
      </c>
      <c r="H360" t="inlineStr">
        <is>
          <t>Elmdene Road, London, SE18</t>
        </is>
      </c>
      <c r="I360" t="inlineStr">
        <is>
          <t>This two-bedroom maisonette on Elmdene Road offers practical living in a fantastic location, complete with a quiet, private garden for the sole use of this home. Key Features Two well-sized bed... ** Property Reference: 1912682 **</t>
        </is>
      </c>
      <c r="J360" t="inlineStr">
        <is>
          <t>https://www.rightmove.co.uk/properties/167575409#/?channel=RES_LET</t>
        </is>
      </c>
      <c r="K360" t="inlineStr">
        <is>
          <t>/property-to-rent/contactBranch.html?propertyId=167575409</t>
        </is>
      </c>
      <c r="L360" t="inlineStr">
        <is>
          <t>OpenRent, London</t>
        </is>
      </c>
      <c r="M360" t="n">
        <v>96668</v>
      </c>
      <c r="N360" t="inlineStr">
        <is>
          <t>Added on 29/09/2025</t>
        </is>
      </c>
      <c r="O360" t="inlineStr">
        <is>
          <t>2025-09-29T17:00:01Z</t>
        </is>
      </c>
      <c r="Q360" t="inlineStr">
        <is>
          <t>SE18</t>
        </is>
      </c>
      <c r="R360" t="inlineStr">
        <is>
          <t>2025-10-16T17:42:33.209803</t>
        </is>
      </c>
      <c r="S360" t="inlineStr">
        <is>
          <t>{'let available date': 'Now', 'deposit': '£1,962', 'min. tenancy': 'Ask agent', 'let type': 'Long term', 'furnish type': 'Furnished', 'council tax': 'Ask agent'}</t>
        </is>
      </c>
      <c r="V360" t="b">
        <v>1</v>
      </c>
      <c r="X360" t="n">
        <v>20.83</v>
      </c>
      <c r="Y360" t="n">
        <v>51.8</v>
      </c>
      <c r="Z360">
        <f>IF(AND(ISNUMBER(B360), ISNUMBER(MIN(B$2:B$486)), ISNUMBER(MAX(B$2:B$486))), IF(MAX(B$2:B$486)=MIN(B$2:B$486), 50, ROUND((MAX(B$2:B$486)-B360)/(MAX(B$2:B$486)-MIN(B$2:B$486))*100, 2)), "")</f>
        <v/>
      </c>
      <c r="AA360">
        <f>IF(AND(ISNUMBER(X360), ISNUMBER(MIN(X$2:X$486)), ISNUMBER(MAX(X$2:X$486))), IF(MAX(X$2:X$486)=MIN(X$2:X$486), 50, ROUND((MAX(X$2:X$486)-X360)/(MAX(X$2:X$486)-MIN(X$2:X$486))*100, 2)), "")</f>
        <v/>
      </c>
      <c r="AB360">
        <f>IF(AND(ISNUMBER(U360), ISNUMBER(MIN(U$2:U$486)), ISNUMBER(MAX(U$2:U$486))), IF(MAX(U$2:U$486)=MIN(U$2:U$486), 50, ROUND((U360-MIN(U$2:U$486))/(MAX(U$2:U$486)-MIN(U$2:U$486))*100, 2)), "")</f>
        <v/>
      </c>
      <c r="AC360">
        <f>IF(AND(ISNUMBER(Z360), ISNUMBER(AA360), ISNUMBER(AB360)), ROUND((Z360+AA360+AB360)/3, 2), "")</f>
        <v/>
      </c>
    </row>
    <row r="361">
      <c r="A361" t="n">
        <v>87282897</v>
      </c>
      <c r="B361" t="n">
        <v>1600</v>
      </c>
      <c r="C361" t="inlineStr">
        <is>
          <t>£1,600 pcm</t>
        </is>
      </c>
      <c r="D361" t="inlineStr">
        <is>
          <t>monthly</t>
        </is>
      </c>
      <c r="E361" t="inlineStr">
        <is>
          <t>Semi-Detached</t>
        </is>
      </c>
      <c r="F361" t="n">
        <v>2</v>
      </c>
      <c r="G361" t="n">
        <v>1</v>
      </c>
      <c r="H361" t="inlineStr">
        <is>
          <t>Bloxworth Close, London, SM6</t>
        </is>
      </c>
      <c r="I361" t="inlineStr">
        <is>
          <t xml:space="preserve">Two bedroom house located on the edges of historic Beddington Park. Benefitting from private garden, fully fitted modern kitchen and bathroom, allocated off street parking, double glazing and gas central heating. New carpets &amp; recently decorated </t>
        </is>
      </c>
      <c r="J361" t="inlineStr">
        <is>
          <t>https://www.rightmove.co.uk/properties/87282897#/?channel=RES_LET</t>
        </is>
      </c>
      <c r="K361" t="inlineStr">
        <is>
          <t>/property-to-rent/contactBranch.html?propertyId=87282897</t>
        </is>
      </c>
      <c r="L361" t="inlineStr">
        <is>
          <t>Reed &amp; Woods, Wallington</t>
        </is>
      </c>
      <c r="M361" t="n">
        <v>91820</v>
      </c>
      <c r="N361" t="inlineStr">
        <is>
          <t>Reduced on 29/09/2025</t>
        </is>
      </c>
      <c r="O361" t="inlineStr">
        <is>
          <t>2025-09-15T11:51:53Z</t>
        </is>
      </c>
      <c r="Q361" t="inlineStr">
        <is>
          <t>SM6</t>
        </is>
      </c>
      <c r="R361" t="inlineStr">
        <is>
          <t>2025-10-16T17:42:33.209810</t>
        </is>
      </c>
      <c r="S361" t="inlineStr">
        <is>
          <t>{'let available date': 'Ask agent', 'deposit': 'Ask agent', 'min. tenancy': 'Ask agent', 'let type': 'Long term', 'furnish type': 'Unfurnished', 'council tax': 'Ask agent'}</t>
        </is>
      </c>
      <c r="V361" t="b">
        <v>1</v>
      </c>
      <c r="X361" t="n">
        <v>20.45</v>
      </c>
      <c r="Y361" t="n">
        <v>64.59999999999999</v>
      </c>
      <c r="Z361">
        <f>IF(AND(ISNUMBER(B361), ISNUMBER(MIN(B$2:B$486)), ISNUMBER(MAX(B$2:B$486))), IF(MAX(B$2:B$486)=MIN(B$2:B$486), 50, ROUND((MAX(B$2:B$486)-B361)/(MAX(B$2:B$486)-MIN(B$2:B$486))*100, 2)), "")</f>
        <v/>
      </c>
      <c r="AA361">
        <f>IF(AND(ISNUMBER(X361), ISNUMBER(MIN(X$2:X$486)), ISNUMBER(MAX(X$2:X$486))), IF(MAX(X$2:X$486)=MIN(X$2:X$486), 50, ROUND((MAX(X$2:X$486)-X361)/(MAX(X$2:X$486)-MIN(X$2:X$486))*100, 2)), "")</f>
        <v/>
      </c>
      <c r="AB361">
        <f>IF(AND(ISNUMBER(U361), ISNUMBER(MIN(U$2:U$486)), ISNUMBER(MAX(U$2:U$486))), IF(MAX(U$2:U$486)=MIN(U$2:U$486), 50, ROUND((U361-MIN(U$2:U$486))/(MAX(U$2:U$486)-MIN(U$2:U$486))*100, 2)), "")</f>
        <v/>
      </c>
      <c r="AC361">
        <f>IF(AND(ISNUMBER(Z361), ISNUMBER(AA361), ISNUMBER(AB361)), ROUND((Z361+AA361+AB361)/3, 2), "")</f>
        <v/>
      </c>
    </row>
    <row r="362">
      <c r="A362" t="n">
        <v>65628077</v>
      </c>
      <c r="B362" t="n">
        <v>1700</v>
      </c>
      <c r="C362" t="inlineStr">
        <is>
          <t>£1,700 pcm</t>
        </is>
      </c>
      <c r="D362" t="inlineStr">
        <is>
          <t>monthly</t>
        </is>
      </c>
      <c r="E362" t="inlineStr">
        <is>
          <t>Flat</t>
        </is>
      </c>
      <c r="F362" t="n">
        <v>2</v>
      </c>
      <c r="H362" t="inlineStr">
        <is>
          <t>High Road Leyton, London, E10</t>
        </is>
      </c>
      <c r="I362" t="inlineStr">
        <is>
          <t>First floor two bedroom flat on High Road Leyton is available now and boasts an impressive list of features. Above commercial premises.</t>
        </is>
      </c>
      <c r="J362" t="inlineStr">
        <is>
          <t>https://www.rightmove.co.uk/properties/65628077#/?channel=RES_LET</t>
        </is>
      </c>
      <c r="K362" t="inlineStr">
        <is>
          <t>/property-to-rent/contactBranch.html?propertyId=65628077</t>
        </is>
      </c>
      <c r="L362" t="inlineStr">
        <is>
          <t>Yellands, South Woodford</t>
        </is>
      </c>
      <c r="M362" t="n">
        <v>62254</v>
      </c>
      <c r="N362" t="inlineStr">
        <is>
          <t>Added on 29/09/2025</t>
        </is>
      </c>
      <c r="O362" t="inlineStr">
        <is>
          <t>2017-04-04T09:20:38Z</t>
        </is>
      </c>
      <c r="Q362" t="inlineStr">
        <is>
          <t>E10</t>
        </is>
      </c>
      <c r="R362" t="inlineStr">
        <is>
          <t>2025-10-16T17:42:33.209817</t>
        </is>
      </c>
      <c r="S362" t="inlineStr">
        <is>
          <t>{'let available date': 'Ask agent', 'deposit': 'Ask agent', 'min. tenancy': 'Ask agent', 'let type': 'Long term', 'furnish type': 'Unfurnished', 'council tax': 'Ask agent'}</t>
        </is>
      </c>
      <c r="V362" t="b">
        <v>1</v>
      </c>
      <c r="X362" t="n">
        <v>12.31</v>
      </c>
      <c r="Y362" t="n">
        <v>49.3</v>
      </c>
      <c r="Z362">
        <f>IF(AND(ISNUMBER(B362), ISNUMBER(MIN(B$2:B$486)), ISNUMBER(MAX(B$2:B$486))), IF(MAX(B$2:B$486)=MIN(B$2:B$486), 50, ROUND((MAX(B$2:B$486)-B362)/(MAX(B$2:B$486)-MIN(B$2:B$486))*100, 2)), "")</f>
        <v/>
      </c>
      <c r="AA362">
        <f>IF(AND(ISNUMBER(X362), ISNUMBER(MIN(X$2:X$486)), ISNUMBER(MAX(X$2:X$486))), IF(MAX(X$2:X$486)=MIN(X$2:X$486), 50, ROUND((MAX(X$2:X$486)-X362)/(MAX(X$2:X$486)-MIN(X$2:X$486))*100, 2)), "")</f>
        <v/>
      </c>
      <c r="AB362">
        <f>IF(AND(ISNUMBER(U362), ISNUMBER(MIN(U$2:U$486)), ISNUMBER(MAX(U$2:U$486))), IF(MAX(U$2:U$486)=MIN(U$2:U$486), 50, ROUND((U362-MIN(U$2:U$486))/(MAX(U$2:U$486)-MIN(U$2:U$486))*100, 2)), "")</f>
        <v/>
      </c>
      <c r="AC362">
        <f>IF(AND(ISNUMBER(Z362), ISNUMBER(AA362), ISNUMBER(AB362)), ROUND((Z362+AA362+AB362)/3, 2), "")</f>
        <v/>
      </c>
    </row>
    <row r="363">
      <c r="A363" t="n">
        <v>167000981</v>
      </c>
      <c r="B363" t="n">
        <v>1750</v>
      </c>
      <c r="C363" t="inlineStr">
        <is>
          <t>£1,750 pcm</t>
        </is>
      </c>
      <c r="D363" t="inlineStr">
        <is>
          <t>monthly</t>
        </is>
      </c>
      <c r="E363" t="inlineStr">
        <is>
          <t>Apartment</t>
        </is>
      </c>
      <c r="F363" t="n">
        <v>2</v>
      </c>
      <c r="H363" t="inlineStr">
        <is>
          <t>Howard Road, London, NW2</t>
        </is>
      </c>
      <c r="I363" t="inlineStr">
        <is>
          <t>A freshly refurbished two bedroom first floor unfurnished apartment with newly fitted kitchen, bathroom, carpets and decorations. The property benefits from gas central heating and predominantly double glazed windows. The apartment is set close to Cricklewood's Thameslink station.</t>
        </is>
      </c>
      <c r="J363" t="inlineStr">
        <is>
          <t>https://www.rightmove.co.uk/properties/167000981#/?channel=RES_LET</t>
        </is>
      </c>
      <c r="K363" t="inlineStr">
        <is>
          <t>/property-to-rent/contactBranch.html?propertyId=167000981</t>
        </is>
      </c>
      <c r="L363" t="inlineStr">
        <is>
          <t>Callaway &amp; Co, Cricklewood</t>
        </is>
      </c>
      <c r="M363" t="n">
        <v>4654</v>
      </c>
      <c r="N363" t="inlineStr">
        <is>
          <t>Added on 29/09/2025</t>
        </is>
      </c>
      <c r="O363" t="inlineStr">
        <is>
          <t>2025-09-29T14:25:05Z</t>
        </is>
      </c>
      <c r="Q363" t="inlineStr">
        <is>
          <t>NW2</t>
        </is>
      </c>
      <c r="R363" t="inlineStr">
        <is>
          <t>2025-10-16T17:42:33.209824</t>
        </is>
      </c>
      <c r="S363" t="inlineStr">
        <is>
          <t>{'let available date': 'Now', 'deposit': '£2,015', 'min. tenancy': '12 months', 'let type': 'Long term', 'furnish type': 'Unfurnished', 'council tax': 'Ask agent'}</t>
        </is>
      </c>
      <c r="V363" t="b">
        <v>1</v>
      </c>
      <c r="X363" t="n">
        <v>11.77</v>
      </c>
      <c r="Y363" t="n">
        <v>43.1</v>
      </c>
      <c r="Z363">
        <f>IF(AND(ISNUMBER(B363), ISNUMBER(MIN(B$2:B$486)), ISNUMBER(MAX(B$2:B$486))), IF(MAX(B$2:B$486)=MIN(B$2:B$486), 50, ROUND((MAX(B$2:B$486)-B363)/(MAX(B$2:B$486)-MIN(B$2:B$486))*100, 2)), "")</f>
        <v/>
      </c>
      <c r="AA363">
        <f>IF(AND(ISNUMBER(X363), ISNUMBER(MIN(X$2:X$486)), ISNUMBER(MAX(X$2:X$486))), IF(MAX(X$2:X$486)=MIN(X$2:X$486), 50, ROUND((MAX(X$2:X$486)-X363)/(MAX(X$2:X$486)-MIN(X$2:X$486))*100, 2)), "")</f>
        <v/>
      </c>
      <c r="AB363">
        <f>IF(AND(ISNUMBER(U363), ISNUMBER(MIN(U$2:U$486)), ISNUMBER(MAX(U$2:U$486))), IF(MAX(U$2:U$486)=MIN(U$2:U$486), 50, ROUND((U363-MIN(U$2:U$486))/(MAX(U$2:U$486)-MIN(U$2:U$486))*100, 2)), "")</f>
        <v/>
      </c>
      <c r="AC363">
        <f>IF(AND(ISNUMBER(Z363), ISNUMBER(AA363), ISNUMBER(AB363)), ROUND((Z363+AA363+AB363)/3, 2), "")</f>
        <v/>
      </c>
    </row>
    <row r="364">
      <c r="A364" t="n">
        <v>166102241</v>
      </c>
      <c r="B364" t="n">
        <v>1650</v>
      </c>
      <c r="C364" t="inlineStr">
        <is>
          <t>£1,650 pcm</t>
        </is>
      </c>
      <c r="D364" t="inlineStr">
        <is>
          <t>monthly</t>
        </is>
      </c>
      <c r="E364" t="inlineStr">
        <is>
          <t>Maisonette</t>
        </is>
      </c>
      <c r="F364" t="n">
        <v>2</v>
      </c>
      <c r="G364" t="n">
        <v>1</v>
      </c>
      <c r="H364" t="inlineStr">
        <is>
          <t>Stanley Road, Sutton, London, SM2</t>
        </is>
      </c>
      <c r="I364" t="inlineStr">
        <is>
          <t xml:space="preserve">NOT TO BE MISSED! An opportunity to rent this newly decorated spacious split level maisonette with two double bedrooms, modern bathroom and kitchen with appliances including dishwasher. Only a short walk to Sutton mainline station and high street. Unfurnished. AVAILABLE IMMEDIATELY. </t>
        </is>
      </c>
      <c r="J364" t="inlineStr">
        <is>
          <t>https://www.rightmove.co.uk/properties/166102241#/?channel=RES_LET</t>
        </is>
      </c>
      <c r="K364" t="inlineStr">
        <is>
          <t>/property-to-rent/contactBranch.html?propertyId=166102241</t>
        </is>
      </c>
      <c r="L364" t="inlineStr">
        <is>
          <t>Kenyons Estate Agents, Carshalton</t>
        </is>
      </c>
      <c r="M364" t="n">
        <v>8348</v>
      </c>
      <c r="N364" t="inlineStr">
        <is>
          <t>Reduced on 29/09/2025</t>
        </is>
      </c>
      <c r="O364" t="inlineStr">
        <is>
          <t>2025-09-11T14:43:06Z</t>
        </is>
      </c>
      <c r="Q364" t="inlineStr">
        <is>
          <t>SM2</t>
        </is>
      </c>
      <c r="R364" t="inlineStr">
        <is>
          <t>2025-10-16T17:42:34.946965</t>
        </is>
      </c>
      <c r="S364" t="inlineStr">
        <is>
          <t>{'let available date': 'Now', 'deposit': '£1,903', 'min. tenancy': 'Ask agent', 'let type': 'Long term', 'furnish type': 'Unfurnished', 'council tax': 'Ask agent'}</t>
        </is>
      </c>
      <c r="T364" t="n">
        <v>646</v>
      </c>
      <c r="U364" t="n">
        <v>60</v>
      </c>
      <c r="V364" t="b">
        <v>1</v>
      </c>
      <c r="X364" t="n">
        <v>24.26</v>
      </c>
      <c r="Y364" t="n">
        <v>66.3</v>
      </c>
      <c r="Z364">
        <f>IF(AND(ISNUMBER(B364), ISNUMBER(MIN(B$2:B$486)), ISNUMBER(MAX(B$2:B$486))), IF(MAX(B$2:B$486)=MIN(B$2:B$486), 50, ROUND((MAX(B$2:B$486)-B364)/(MAX(B$2:B$486)-MIN(B$2:B$486))*100, 2)), "")</f>
        <v/>
      </c>
      <c r="AA364">
        <f>IF(AND(ISNUMBER(X364), ISNUMBER(MIN(X$2:X$486)), ISNUMBER(MAX(X$2:X$486))), IF(MAX(X$2:X$486)=MIN(X$2:X$486), 50, ROUND((MAX(X$2:X$486)-X364)/(MAX(X$2:X$486)-MIN(X$2:X$486))*100, 2)), "")</f>
        <v/>
      </c>
      <c r="AB364">
        <f>IF(AND(ISNUMBER(U364), ISNUMBER(MIN(U$2:U$486)), ISNUMBER(MAX(U$2:U$486))), IF(MAX(U$2:U$486)=MIN(U$2:U$486), 50, ROUND((U364-MIN(U$2:U$486))/(MAX(U$2:U$486)-MIN(U$2:U$486))*100, 2)), "")</f>
        <v/>
      </c>
      <c r="AC364">
        <f>IF(AND(ISNUMBER(Z364), ISNUMBER(AA364), ISNUMBER(AB364)), ROUND((Z364+AA364+AB364)/3, 2), "")</f>
        <v/>
      </c>
    </row>
    <row r="365">
      <c r="A365" t="n">
        <v>168110309</v>
      </c>
      <c r="B365" t="n">
        <v>1700</v>
      </c>
      <c r="C365" t="inlineStr">
        <is>
          <t>£1,700 pcm</t>
        </is>
      </c>
      <c r="D365" t="inlineStr">
        <is>
          <t>monthly</t>
        </is>
      </c>
      <c r="E365" t="inlineStr">
        <is>
          <t>Flat</t>
        </is>
      </c>
      <c r="F365" t="n">
        <v>2</v>
      </c>
      <c r="G365" t="n">
        <v>1</v>
      </c>
      <c r="H365" t="inlineStr">
        <is>
          <t>Aylesbury Close, London, E7</t>
        </is>
      </c>
      <c r="I365" t="inlineStr">
        <is>
          <t>Two bedroomed ground floor flat in a gated apartment block with parking available from around 6 weeks time. The property has a front door leading into a hallway with all rooms leading off the hal... ** Property Reference: 2637055 **</t>
        </is>
      </c>
      <c r="J365" t="inlineStr">
        <is>
          <t>https://www.rightmove.co.uk/properties/168110309#/?channel=RES_LET</t>
        </is>
      </c>
      <c r="K365" t="inlineStr">
        <is>
          <t>/property-to-rent/contactBranch.html?propertyId=168110309</t>
        </is>
      </c>
      <c r="L365" t="inlineStr">
        <is>
          <t>OpenRent, London</t>
        </is>
      </c>
      <c r="M365" t="n">
        <v>96668</v>
      </c>
      <c r="N365" t="inlineStr">
        <is>
          <t>Added on 29/09/2025</t>
        </is>
      </c>
      <c r="O365" t="inlineStr">
        <is>
          <t>2025-10-10T22:14:44Z</t>
        </is>
      </c>
      <c r="Q365" t="inlineStr">
        <is>
          <t>E7</t>
        </is>
      </c>
      <c r="R365" t="inlineStr">
        <is>
          <t>2025-10-16T17:42:34.946971</t>
        </is>
      </c>
      <c r="S365" t="inlineStr">
        <is>
          <t>{'let available date': '22/11/2025', 'deposit': '£1,700', 'min. tenancy': 'Ask agent', 'let type': 'Long term', 'furnish type': 'Furnished', 'council tax': 'Ask agent'}</t>
        </is>
      </c>
      <c r="V365" t="b">
        <v>1</v>
      </c>
      <c r="X365" t="n">
        <v>13.65</v>
      </c>
      <c r="Y365" t="n">
        <v>53.9</v>
      </c>
      <c r="Z365">
        <f>IF(AND(ISNUMBER(B365), ISNUMBER(MIN(B$2:B$486)), ISNUMBER(MAX(B$2:B$486))), IF(MAX(B$2:B$486)=MIN(B$2:B$486), 50, ROUND((MAX(B$2:B$486)-B365)/(MAX(B$2:B$486)-MIN(B$2:B$486))*100, 2)), "")</f>
        <v/>
      </c>
      <c r="AA365">
        <f>IF(AND(ISNUMBER(X365), ISNUMBER(MIN(X$2:X$486)), ISNUMBER(MAX(X$2:X$486))), IF(MAX(X$2:X$486)=MIN(X$2:X$486), 50, ROUND((MAX(X$2:X$486)-X365)/(MAX(X$2:X$486)-MIN(X$2:X$486))*100, 2)), "")</f>
        <v/>
      </c>
      <c r="AB365">
        <f>IF(AND(ISNUMBER(U365), ISNUMBER(MIN(U$2:U$486)), ISNUMBER(MAX(U$2:U$486))), IF(MAX(U$2:U$486)=MIN(U$2:U$486), 50, ROUND((U365-MIN(U$2:U$486))/(MAX(U$2:U$486)-MIN(U$2:U$486))*100, 2)), "")</f>
        <v/>
      </c>
      <c r="AC365">
        <f>IF(AND(ISNUMBER(Z365), ISNUMBER(AA365), ISNUMBER(AB365)), ROUND((Z365+AA365+AB365)/3, 2), "")</f>
        <v/>
      </c>
    </row>
    <row r="366">
      <c r="A366" t="n">
        <v>166837568</v>
      </c>
      <c r="B366" t="n">
        <v>1750</v>
      </c>
      <c r="C366" t="inlineStr">
        <is>
          <t>£1,750 pcm</t>
        </is>
      </c>
      <c r="D366" t="inlineStr">
        <is>
          <t>monthly</t>
        </is>
      </c>
      <c r="E366" t="inlineStr">
        <is>
          <t>Flat</t>
        </is>
      </c>
      <c r="F366" t="n">
        <v>2</v>
      </c>
      <c r="G366" t="n">
        <v>1</v>
      </c>
      <c r="H366" t="inlineStr">
        <is>
          <t>Longley Road, LONDON</t>
        </is>
      </c>
      <c r="I366" t="inlineStr">
        <is>
          <t>**TWO BEDROOM GROUND FLOOR FLAT** Barnard Marcus are proud to present to you a newly refurbished two bedroom flat on Longley Road! The property benefits from being on the ground floor, two double bedrooms, spacious bathroom, open plan kitchen and living space fully fitted with all white go...</t>
        </is>
      </c>
      <c r="J366" t="inlineStr">
        <is>
          <t>https://www.rightmove.co.uk/properties/166837568#/?channel=RES_LET</t>
        </is>
      </c>
      <c r="K366" t="inlineStr">
        <is>
          <t>/property-to-rent/contactBranch.html?propertyId=166837568</t>
        </is>
      </c>
      <c r="L366" t="inlineStr">
        <is>
          <t>Barnard Marcus Lettings, Tooting Lettings</t>
        </is>
      </c>
      <c r="M366" t="n">
        <v>63509</v>
      </c>
      <c r="N366" t="inlineStr">
        <is>
          <t>Reduced on 29/09/2025</t>
        </is>
      </c>
      <c r="O366" t="inlineStr">
        <is>
          <t>2025-09-10T15:35:25Z</t>
        </is>
      </c>
      <c r="R366" t="inlineStr">
        <is>
          <t>2025-10-16T17:42:34.946978</t>
        </is>
      </c>
      <c r="S366" t="inlineStr">
        <is>
          <t>{'let available date': '25/10/2025', 'deposit': '£2,019', 'min. tenancy': '12 months', 'let type': 'Long term', 'furnish type': 'Furnished or unfurnished, landlord is flexible', 'council tax': 'Ask agent'}</t>
        </is>
      </c>
      <c r="V366" t="b">
        <v>1</v>
      </c>
      <c r="X366" t="n">
        <v>13.26</v>
      </c>
      <c r="Y366" t="n">
        <v>45.5</v>
      </c>
      <c r="Z366">
        <f>IF(AND(ISNUMBER(B366), ISNUMBER(MIN(B$2:B$486)), ISNUMBER(MAX(B$2:B$486))), IF(MAX(B$2:B$486)=MIN(B$2:B$486), 50, ROUND((MAX(B$2:B$486)-B366)/(MAX(B$2:B$486)-MIN(B$2:B$486))*100, 2)), "")</f>
        <v/>
      </c>
      <c r="AA366">
        <f>IF(AND(ISNUMBER(X366), ISNUMBER(MIN(X$2:X$486)), ISNUMBER(MAX(X$2:X$486))), IF(MAX(X$2:X$486)=MIN(X$2:X$486), 50, ROUND((MAX(X$2:X$486)-X366)/(MAX(X$2:X$486)-MIN(X$2:X$486))*100, 2)), "")</f>
        <v/>
      </c>
      <c r="AB366">
        <f>IF(AND(ISNUMBER(U366), ISNUMBER(MIN(U$2:U$486)), ISNUMBER(MAX(U$2:U$486))), IF(MAX(U$2:U$486)=MIN(U$2:U$486), 50, ROUND((U366-MIN(U$2:U$486))/(MAX(U$2:U$486)-MIN(U$2:U$486))*100, 2)), "")</f>
        <v/>
      </c>
      <c r="AC366">
        <f>IF(AND(ISNUMBER(Z366), ISNUMBER(AA366), ISNUMBER(AB366)), ROUND((Z366+AA366+AB366)/3, 2), "")</f>
        <v/>
      </c>
    </row>
    <row r="367">
      <c r="A367" t="n">
        <v>167652110</v>
      </c>
      <c r="B367" t="n">
        <v>1700</v>
      </c>
      <c r="C367" t="inlineStr">
        <is>
          <t>£1,700 pcm</t>
        </is>
      </c>
      <c r="D367" t="inlineStr">
        <is>
          <t>monthly</t>
        </is>
      </c>
      <c r="E367" t="inlineStr">
        <is>
          <t>Flat</t>
        </is>
      </c>
      <c r="F367" t="n">
        <v>2</v>
      </c>
      <c r="G367" t="n">
        <v>1</v>
      </c>
      <c r="H367" t="inlineStr">
        <is>
          <t>Hendon Lane, London, N3</t>
        </is>
      </c>
      <c r="I367" t="inlineStr">
        <is>
          <t>Property Ref: 12866 This flat has just been completely remodernised to a high standard. The property consists of a double …</t>
        </is>
      </c>
      <c r="J367" t="inlineStr">
        <is>
          <t>https://www.rightmove.co.uk/properties/167652110#/?channel=RES_LET</t>
        </is>
      </c>
      <c r="K367" t="inlineStr">
        <is>
          <t>/property-to-rent/contactBranch.html?propertyId=167652110</t>
        </is>
      </c>
      <c r="L367" t="inlineStr">
        <is>
          <t>gLocalAgents.co.uk, Covering Nationwide</t>
        </is>
      </c>
      <c r="M367" t="n">
        <v>176603</v>
      </c>
      <c r="N367" t="inlineStr">
        <is>
          <t>Reduced on 29/09/2025</t>
        </is>
      </c>
      <c r="O367" t="inlineStr">
        <is>
          <t>2025-10-01T10:41:41Z</t>
        </is>
      </c>
      <c r="Q367" t="inlineStr">
        <is>
          <t>N3</t>
        </is>
      </c>
      <c r="R367" t="inlineStr">
        <is>
          <t>2025-10-16T17:42:34.946985</t>
        </is>
      </c>
      <c r="S367" t="inlineStr">
        <is>
          <t>{'let available date': 'Now', 'deposit': '£450', 'min. tenancy': 'Ask agent', 'let type': 'Long term', 'furnish type': 'Unfurnished', 'council tax': 'Ask agent'}</t>
        </is>
      </c>
      <c r="V367" t="b">
        <v>1</v>
      </c>
      <c r="X367" t="n">
        <v>13.41</v>
      </c>
      <c r="Y367" t="n">
        <v>45.8</v>
      </c>
      <c r="Z367">
        <f>IF(AND(ISNUMBER(B367), ISNUMBER(MIN(B$2:B$486)), ISNUMBER(MAX(B$2:B$486))), IF(MAX(B$2:B$486)=MIN(B$2:B$486), 50, ROUND((MAX(B$2:B$486)-B367)/(MAX(B$2:B$486)-MIN(B$2:B$486))*100, 2)), "")</f>
        <v/>
      </c>
      <c r="AA367">
        <f>IF(AND(ISNUMBER(X367), ISNUMBER(MIN(X$2:X$486)), ISNUMBER(MAX(X$2:X$486))), IF(MAX(X$2:X$486)=MIN(X$2:X$486), 50, ROUND((MAX(X$2:X$486)-X367)/(MAX(X$2:X$486)-MIN(X$2:X$486))*100, 2)), "")</f>
        <v/>
      </c>
      <c r="AB367">
        <f>IF(AND(ISNUMBER(U367), ISNUMBER(MIN(U$2:U$486)), ISNUMBER(MAX(U$2:U$486))), IF(MAX(U$2:U$486)=MIN(U$2:U$486), 50, ROUND((U367-MIN(U$2:U$486))/(MAX(U$2:U$486)-MIN(U$2:U$486))*100, 2)), "")</f>
        <v/>
      </c>
      <c r="AC367">
        <f>IF(AND(ISNUMBER(Z367), ISNUMBER(AA367), ISNUMBER(AB367)), ROUND((Z367+AA367+AB367)/3, 2), "")</f>
        <v/>
      </c>
    </row>
    <row r="368">
      <c r="A368" t="n">
        <v>167938844</v>
      </c>
      <c r="B368" t="n">
        <v>1250</v>
      </c>
      <c r="C368" t="inlineStr">
        <is>
          <t>£1,250 pcm</t>
        </is>
      </c>
      <c r="D368" t="inlineStr">
        <is>
          <t>monthly</t>
        </is>
      </c>
      <c r="E368" t="inlineStr">
        <is>
          <t>Flat</t>
        </is>
      </c>
      <c r="F368" t="n">
        <v>2</v>
      </c>
      <c r="G368" t="n">
        <v>1</v>
      </c>
      <c r="H368" t="inlineStr">
        <is>
          <t>Carshalton Road, Sutton, SM1</t>
        </is>
      </c>
      <c r="I368" t="inlineStr">
        <is>
          <t>One Double, One Single Bedroom First Floor Flat.Situated in walking distance to Sutton town centre, transport and main line station.Accommodation comprises of entrance hall, kitchen/lounge with ga... ** Property Reference: 2639531 **</t>
        </is>
      </c>
      <c r="J368" t="inlineStr">
        <is>
          <t>https://www.rightmove.co.uk/properties/167938844#/?channel=RES_LET</t>
        </is>
      </c>
      <c r="K368" t="inlineStr">
        <is>
          <t>/property-to-rent/contactBranch.html?propertyId=167938844</t>
        </is>
      </c>
      <c r="L368" t="inlineStr">
        <is>
          <t>OpenRent, London</t>
        </is>
      </c>
      <c r="M368" t="n">
        <v>96668</v>
      </c>
      <c r="N368" t="inlineStr">
        <is>
          <t>Added on 27/09/2025</t>
        </is>
      </c>
      <c r="O368" t="inlineStr">
        <is>
          <t>2025-10-07T19:28:23Z</t>
        </is>
      </c>
      <c r="Q368" t="inlineStr">
        <is>
          <t>SM1</t>
        </is>
      </c>
      <c r="R368" t="inlineStr">
        <is>
          <t>2025-10-16T17:42:34.946988</t>
        </is>
      </c>
      <c r="S368" t="inlineStr">
        <is>
          <t>{'let available date': 'Now', 'deposit': '£1,442', 'min. tenancy': 'Ask agent', 'let type': 'Long term', 'furnish type': 'Unfurnished', 'council tax': 'Ask agent'}</t>
        </is>
      </c>
      <c r="V368" t="b">
        <v>1</v>
      </c>
      <c r="X368" t="n">
        <v>20.15</v>
      </c>
      <c r="Y368" t="n">
        <v>60.7</v>
      </c>
      <c r="Z368">
        <f>IF(AND(ISNUMBER(B368), ISNUMBER(MIN(B$2:B$486)), ISNUMBER(MAX(B$2:B$486))), IF(MAX(B$2:B$486)=MIN(B$2:B$486), 50, ROUND((MAX(B$2:B$486)-B368)/(MAX(B$2:B$486)-MIN(B$2:B$486))*100, 2)), "")</f>
        <v/>
      </c>
      <c r="AA368">
        <f>IF(AND(ISNUMBER(X368), ISNUMBER(MIN(X$2:X$486)), ISNUMBER(MAX(X$2:X$486))), IF(MAX(X$2:X$486)=MIN(X$2:X$486), 50, ROUND((MAX(X$2:X$486)-X368)/(MAX(X$2:X$486)-MIN(X$2:X$486))*100, 2)), "")</f>
        <v/>
      </c>
      <c r="AB368">
        <f>IF(AND(ISNUMBER(U368), ISNUMBER(MIN(U$2:U$486)), ISNUMBER(MAX(U$2:U$486))), IF(MAX(U$2:U$486)=MIN(U$2:U$486), 50, ROUND((U368-MIN(U$2:U$486))/(MAX(U$2:U$486)-MIN(U$2:U$486))*100, 2)), "")</f>
        <v/>
      </c>
      <c r="AC368">
        <f>IF(AND(ISNUMBER(Z368), ISNUMBER(AA368), ISNUMBER(AB368)), ROUND((Z368+AA368+AB368)/3, 2), "")</f>
        <v/>
      </c>
    </row>
    <row r="369">
      <c r="A369" t="n">
        <v>166938443</v>
      </c>
      <c r="B369" t="n">
        <v>1750</v>
      </c>
      <c r="C369" t="inlineStr">
        <is>
          <t>£1,750 pcm</t>
        </is>
      </c>
      <c r="D369" t="inlineStr">
        <is>
          <t>monthly</t>
        </is>
      </c>
      <c r="E369" t="inlineStr">
        <is>
          <t>Flat</t>
        </is>
      </c>
      <c r="F369" t="n">
        <v>2</v>
      </c>
      <c r="G369" t="n">
        <v>1</v>
      </c>
      <c r="H369" t="inlineStr">
        <is>
          <t>Brandram Road, Lewisham, London, SE13</t>
        </is>
      </c>
      <c r="I369" t="inlineStr">
        <is>
          <t>A stunning split level conversion flat to rent set in a superb location for access to both Blackheath and Lewisham mainline Stations and DLR as well as local amenities.</t>
        </is>
      </c>
      <c r="J369" t="inlineStr">
        <is>
          <t>https://www.rightmove.co.uk/properties/166938443#/?channel=RES_LET</t>
        </is>
      </c>
      <c r="K369" t="inlineStr">
        <is>
          <t>/property-to-rent/contactBranch.html?propertyId=166938443</t>
        </is>
      </c>
      <c r="L369" t="inlineStr">
        <is>
          <t>Kinleigh Folkard &amp; Hayward - Lettings, Blackheath</t>
        </is>
      </c>
      <c r="M369" t="n">
        <v>57916</v>
      </c>
      <c r="N369" t="inlineStr">
        <is>
          <t>Reduced on 27/09/2025</t>
        </is>
      </c>
      <c r="O369" t="inlineStr">
        <is>
          <t>2025-09-12T15:48:22Z</t>
        </is>
      </c>
      <c r="Q369" t="inlineStr">
        <is>
          <t>SE13</t>
        </is>
      </c>
      <c r="R369" t="inlineStr">
        <is>
          <t>2025-10-16T17:42:34.946992</t>
        </is>
      </c>
      <c r="S369" t="inlineStr">
        <is>
          <t>{'let available date': 'Now', 'deposit': '£2,019', 'min. tenancy': 'Ask agent', 'let type': 'Long term', 'furnish type': 'Part furnished', 'council tax': 'Ask agent'}</t>
        </is>
      </c>
      <c r="V369" t="b">
        <v>1</v>
      </c>
      <c r="X369" t="n">
        <v>12.97</v>
      </c>
      <c r="Y369" t="n">
        <v>49.7</v>
      </c>
      <c r="Z369">
        <f>IF(AND(ISNUMBER(B369), ISNUMBER(MIN(B$2:B$486)), ISNUMBER(MAX(B$2:B$486))), IF(MAX(B$2:B$486)=MIN(B$2:B$486), 50, ROUND((MAX(B$2:B$486)-B369)/(MAX(B$2:B$486)-MIN(B$2:B$486))*100, 2)), "")</f>
        <v/>
      </c>
      <c r="AA369">
        <f>IF(AND(ISNUMBER(X369), ISNUMBER(MIN(X$2:X$486)), ISNUMBER(MAX(X$2:X$486))), IF(MAX(X$2:X$486)=MIN(X$2:X$486), 50, ROUND((MAX(X$2:X$486)-X369)/(MAX(X$2:X$486)-MIN(X$2:X$486))*100, 2)), "")</f>
        <v/>
      </c>
      <c r="AB369">
        <f>IF(AND(ISNUMBER(U369), ISNUMBER(MIN(U$2:U$486)), ISNUMBER(MAX(U$2:U$486))), IF(MAX(U$2:U$486)=MIN(U$2:U$486), 50, ROUND((U369-MIN(U$2:U$486))/(MAX(U$2:U$486)-MIN(U$2:U$486))*100, 2)), "")</f>
        <v/>
      </c>
      <c r="AC369">
        <f>IF(AND(ISNUMBER(Z369), ISNUMBER(AA369), ISNUMBER(AB369)), ROUND((Z369+AA369+AB369)/3, 2), "")</f>
        <v/>
      </c>
    </row>
    <row r="370">
      <c r="A370" t="n">
        <v>146548034</v>
      </c>
      <c r="B370" t="n">
        <v>1700</v>
      </c>
      <c r="C370" t="inlineStr">
        <is>
          <t>£1,700 pcm</t>
        </is>
      </c>
      <c r="D370" t="inlineStr">
        <is>
          <t>monthly</t>
        </is>
      </c>
      <c r="E370" t="inlineStr">
        <is>
          <t>Apartment</t>
        </is>
      </c>
      <c r="F370" t="n">
        <v>2</v>
      </c>
      <c r="G370" t="n">
        <v>1</v>
      </c>
      <c r="H370" t="inlineStr">
        <is>
          <t>West Barnes Lane, New Malden, KT3</t>
        </is>
      </c>
      <c r="I370" t="inlineStr">
        <is>
          <t>Tastefully presented, modern styled first floor flat with two large bedrooms, spacious living room with south facing bay window, good sized kitchen with door opening up to the balcony area, a bathroom with window. EPC C with electric heating, Entryphone system, residents parking. Malden Court is ...</t>
        </is>
      </c>
      <c r="J370" t="inlineStr">
        <is>
          <t>https://www.rightmove.co.uk/properties/146548034#/?channel=RES_LET</t>
        </is>
      </c>
      <c r="K370" t="inlineStr">
        <is>
          <t>/property-to-rent/contactBranch.html?propertyId=146548034</t>
        </is>
      </c>
      <c r="L370" t="inlineStr">
        <is>
          <t>Hawes &amp; Co, Raynes Park</t>
        </is>
      </c>
      <c r="M370" t="n">
        <v>194222</v>
      </c>
      <c r="N370" t="inlineStr">
        <is>
          <t>Added on 27/09/2025</t>
        </is>
      </c>
      <c r="O370" t="inlineStr">
        <is>
          <t>2024-04-08T10:51:13Z</t>
        </is>
      </c>
      <c r="Q370" t="inlineStr">
        <is>
          <t>KT3</t>
        </is>
      </c>
      <c r="R370" t="inlineStr">
        <is>
          <t>2025-10-16T17:42:34.946995</t>
        </is>
      </c>
      <c r="S370" t="inlineStr">
        <is>
          <t>{'let available date': '29/11/2025', 'deposit': '£0', 'min. tenancy': 'Ask agent', 'let type': 'Long term', 'furnish type': 'Unfurnished', 'council tax': 'Ask agent'}</t>
        </is>
      </c>
      <c r="V370" t="b">
        <v>1</v>
      </c>
      <c r="X370" t="n">
        <v>20.04</v>
      </c>
      <c r="Y370" t="n">
        <v>58</v>
      </c>
      <c r="Z370">
        <f>IF(AND(ISNUMBER(B370), ISNUMBER(MIN(B$2:B$486)), ISNUMBER(MAX(B$2:B$486))), IF(MAX(B$2:B$486)=MIN(B$2:B$486), 50, ROUND((MAX(B$2:B$486)-B370)/(MAX(B$2:B$486)-MIN(B$2:B$486))*100, 2)), "")</f>
        <v/>
      </c>
      <c r="AA370">
        <f>IF(AND(ISNUMBER(X370), ISNUMBER(MIN(X$2:X$486)), ISNUMBER(MAX(X$2:X$486))), IF(MAX(X$2:X$486)=MIN(X$2:X$486), 50, ROUND((MAX(X$2:X$486)-X370)/(MAX(X$2:X$486)-MIN(X$2:X$486))*100, 2)), "")</f>
        <v/>
      </c>
      <c r="AB370">
        <f>IF(AND(ISNUMBER(U370), ISNUMBER(MIN(U$2:U$486)), ISNUMBER(MAX(U$2:U$486))), IF(MAX(U$2:U$486)=MIN(U$2:U$486), 50, ROUND((U370-MIN(U$2:U$486))/(MAX(U$2:U$486)-MIN(U$2:U$486))*100, 2)), "")</f>
        <v/>
      </c>
      <c r="AC370">
        <f>IF(AND(ISNUMBER(Z370), ISNUMBER(AA370), ISNUMBER(AB370)), ROUND((Z370+AA370+AB370)/3, 2), "")</f>
        <v/>
      </c>
    </row>
    <row r="371">
      <c r="A371" t="n">
        <v>167523554</v>
      </c>
      <c r="B371" t="n">
        <v>1525</v>
      </c>
      <c r="C371" t="inlineStr">
        <is>
          <t>£1,525 pcm</t>
        </is>
      </c>
      <c r="D371" t="inlineStr">
        <is>
          <t>monthly</t>
        </is>
      </c>
      <c r="E371" t="inlineStr">
        <is>
          <t>Apartment</t>
        </is>
      </c>
      <c r="F371" t="n">
        <v>2</v>
      </c>
      <c r="G371" t="n">
        <v>1</v>
      </c>
      <c r="H371" t="inlineStr">
        <is>
          <t>Heathfield Drive, Mitcham, Greater London, CR4</t>
        </is>
      </c>
      <c r="I371" t="inlineStr">
        <is>
          <t>2 Bedrooms. 1 Large Reception Room. 1 Separate Kitchen. 1 Full Bathroom (Shower over Bath). Wood Flooring Throughout. Double Glazed. Off Street Parking.</t>
        </is>
      </c>
      <c r="J371" t="inlineStr">
        <is>
          <t>https://www.rightmove.co.uk/properties/167523554#/?channel=RES_LET</t>
        </is>
      </c>
      <c r="K371" t="inlineStr">
        <is>
          <t>/property-to-rent/contactBranch.html?propertyId=167523554</t>
        </is>
      </c>
      <c r="L371" t="inlineStr">
        <is>
          <t>Rosewood Estates, London</t>
        </is>
      </c>
      <c r="M371" t="n">
        <v>63096</v>
      </c>
      <c r="N371" t="inlineStr">
        <is>
          <t>Added on 27/09/2025</t>
        </is>
      </c>
      <c r="O371" t="inlineStr">
        <is>
          <t>2025-09-27T12:18:55Z</t>
        </is>
      </c>
      <c r="Q371" t="inlineStr">
        <is>
          <t>CR4</t>
        </is>
      </c>
      <c r="R371" t="inlineStr">
        <is>
          <t>2025-10-16T17:42:34.946998</t>
        </is>
      </c>
      <c r="S371" t="inlineStr">
        <is>
          <t>{'let available date': '02/11/2025', 'deposit': 'Ask agent', 'min. tenancy': 'Ask agent', 'let type': 'Long term', 'furnish type': 'Furnished or unfurnished, landlord is flexible', 'council tax': 'Ask agent'}</t>
        </is>
      </c>
      <c r="V371" t="b">
        <v>1</v>
      </c>
      <c r="X371" t="n">
        <v>15.31</v>
      </c>
      <c r="Y371" t="n">
        <v>52.6</v>
      </c>
      <c r="Z371">
        <f>IF(AND(ISNUMBER(B371), ISNUMBER(MIN(B$2:B$486)), ISNUMBER(MAX(B$2:B$486))), IF(MAX(B$2:B$486)=MIN(B$2:B$486), 50, ROUND((MAX(B$2:B$486)-B371)/(MAX(B$2:B$486)-MIN(B$2:B$486))*100, 2)), "")</f>
        <v/>
      </c>
      <c r="AA371">
        <f>IF(AND(ISNUMBER(X371), ISNUMBER(MIN(X$2:X$486)), ISNUMBER(MAX(X$2:X$486))), IF(MAX(X$2:X$486)=MIN(X$2:X$486), 50, ROUND((MAX(X$2:X$486)-X371)/(MAX(X$2:X$486)-MIN(X$2:X$486))*100, 2)), "")</f>
        <v/>
      </c>
      <c r="AB371">
        <f>IF(AND(ISNUMBER(U371), ISNUMBER(MIN(U$2:U$486)), ISNUMBER(MAX(U$2:U$486))), IF(MAX(U$2:U$486)=MIN(U$2:U$486), 50, ROUND((U371-MIN(U$2:U$486))/(MAX(U$2:U$486)-MIN(U$2:U$486))*100, 2)), "")</f>
        <v/>
      </c>
      <c r="AC371">
        <f>IF(AND(ISNUMBER(Z371), ISNUMBER(AA371), ISNUMBER(AB371)), ROUND((Z371+AA371+AB371)/3, 2), "")</f>
        <v/>
      </c>
    </row>
    <row r="372">
      <c r="A372" t="n">
        <v>87303987</v>
      </c>
      <c r="B372" t="n">
        <v>1750</v>
      </c>
      <c r="C372" t="inlineStr">
        <is>
          <t>£1,750 pcm</t>
        </is>
      </c>
      <c r="D372" t="inlineStr">
        <is>
          <t>monthly</t>
        </is>
      </c>
      <c r="E372" t="inlineStr">
        <is>
          <t>Apartment</t>
        </is>
      </c>
      <c r="F372" t="n">
        <v>2</v>
      </c>
      <c r="G372" t="n">
        <v>1</v>
      </c>
      <c r="H372" t="inlineStr">
        <is>
          <t>London Road, 1465B London Road, London</t>
        </is>
      </c>
      <c r="I372" t="inlineStr">
        <is>
          <t>Harmens are proud to market this two bedroom flat in Norbury only 5 minute walk to Norbury Station. The flat comprises of two double bedrooms, a kitchen with lounge and a bathroom.</t>
        </is>
      </c>
      <c r="J372" t="inlineStr">
        <is>
          <t>https://www.rightmove.co.uk/properties/87303987#/?channel=RES_LET</t>
        </is>
      </c>
      <c r="K372" t="inlineStr">
        <is>
          <t>/property-to-rent/contactBranch.html?propertyId=87303987</t>
        </is>
      </c>
      <c r="L372" t="inlineStr">
        <is>
          <t>Harmens, London</t>
        </is>
      </c>
      <c r="M372" t="n">
        <v>272570</v>
      </c>
      <c r="N372" t="inlineStr">
        <is>
          <t>Reduced on 26/09/2025</t>
        </is>
      </c>
      <c r="O372" t="inlineStr">
        <is>
          <t>2025-10-14T13:08:50Z</t>
        </is>
      </c>
      <c r="R372" t="inlineStr">
        <is>
          <t>2025-10-16T17:42:34.947001</t>
        </is>
      </c>
      <c r="S372" t="inlineStr">
        <is>
          <t>{'let available date': '18/10/2025', 'deposit': 'Ask agent', 'min. tenancy': 'Ask agent', 'let type': 'Long term', 'furnish type': 'Part furnished', 'council tax': 'Ask agent'}</t>
        </is>
      </c>
      <c r="V372" t="b">
        <v>1</v>
      </c>
      <c r="X372" t="n">
        <v>13.84</v>
      </c>
      <c r="Y372" t="n">
        <v>49</v>
      </c>
      <c r="Z372">
        <f>IF(AND(ISNUMBER(B372), ISNUMBER(MIN(B$2:B$486)), ISNUMBER(MAX(B$2:B$486))), IF(MAX(B$2:B$486)=MIN(B$2:B$486), 50, ROUND((MAX(B$2:B$486)-B372)/(MAX(B$2:B$486)-MIN(B$2:B$486))*100, 2)), "")</f>
        <v/>
      </c>
      <c r="AA372">
        <f>IF(AND(ISNUMBER(X372), ISNUMBER(MIN(X$2:X$486)), ISNUMBER(MAX(X$2:X$486))), IF(MAX(X$2:X$486)=MIN(X$2:X$486), 50, ROUND((MAX(X$2:X$486)-X372)/(MAX(X$2:X$486)-MIN(X$2:X$486))*100, 2)), "")</f>
        <v/>
      </c>
      <c r="AB372">
        <f>IF(AND(ISNUMBER(U372), ISNUMBER(MIN(U$2:U$486)), ISNUMBER(MAX(U$2:U$486))), IF(MAX(U$2:U$486)=MIN(U$2:U$486), 50, ROUND((U372-MIN(U$2:U$486))/(MAX(U$2:U$486)-MIN(U$2:U$486))*100, 2)), "")</f>
        <v/>
      </c>
      <c r="AC372">
        <f>IF(AND(ISNUMBER(Z372), ISNUMBER(AA372), ISNUMBER(AB372)), ROUND((Z372+AA372+AB372)/3, 2), "")</f>
        <v/>
      </c>
    </row>
    <row r="373">
      <c r="A373" t="n">
        <v>167496485</v>
      </c>
      <c r="B373" t="n">
        <v>1650</v>
      </c>
      <c r="C373" t="inlineStr">
        <is>
          <t>£1,650 pcm</t>
        </is>
      </c>
      <c r="D373" t="inlineStr">
        <is>
          <t>monthly</t>
        </is>
      </c>
      <c r="E373" t="inlineStr">
        <is>
          <t>Apartment</t>
        </is>
      </c>
      <c r="F373" t="n">
        <v>2</v>
      </c>
      <c r="G373" t="n">
        <v>1</v>
      </c>
      <c r="H373" t="inlineStr">
        <is>
          <t>Coombe Lane, Raynes Park</t>
        </is>
      </c>
      <c r="I373" t="inlineStr">
        <is>
          <t>Just becoming available, this first floor two bedroom apartment is situated 0.1 miles from Raynes Park Station and neighbouring the local supermarket and shops. Offered unfurnished, the property comprises of one double bedroom, a single bedroom with built in storage, a good sized bedroom, separat...</t>
        </is>
      </c>
      <c r="J373" t="inlineStr">
        <is>
          <t>https://www.rightmove.co.uk/properties/167496485#/?channel=RES_LET</t>
        </is>
      </c>
      <c r="K373" t="inlineStr">
        <is>
          <t>/property-to-rent/contactBranch.html?propertyId=167496485</t>
        </is>
      </c>
      <c r="L373" t="inlineStr">
        <is>
          <t>Martin &amp; Co, Kingston</t>
        </is>
      </c>
      <c r="M373" t="n">
        <v>125260</v>
      </c>
      <c r="N373" t="inlineStr">
        <is>
          <t>Reduced on 26/09/2025</t>
        </is>
      </c>
      <c r="O373" t="inlineStr">
        <is>
          <t>2025-09-26T17:15:51Z</t>
        </is>
      </c>
      <c r="R373" t="inlineStr">
        <is>
          <t>2025-10-16T17:42:34.947004</t>
        </is>
      </c>
      <c r="S373" t="inlineStr">
        <is>
          <t>{'let available date': 'Now', 'deposit': '£2,134', 'min. tenancy': 'Ask agent', 'let type': 'Long term', 'furnish type': 'Unfurnished', 'council tax': 'Ask agent'}</t>
        </is>
      </c>
      <c r="T373" t="n">
        <v>644</v>
      </c>
      <c r="U373" t="n">
        <v>60</v>
      </c>
      <c r="V373" t="b">
        <v>1</v>
      </c>
      <c r="X373" t="n">
        <v>15.68</v>
      </c>
      <c r="Y373" t="n">
        <v>52.9</v>
      </c>
      <c r="Z373">
        <f>IF(AND(ISNUMBER(B373), ISNUMBER(MIN(B$2:B$486)), ISNUMBER(MAX(B$2:B$486))), IF(MAX(B$2:B$486)=MIN(B$2:B$486), 50, ROUND((MAX(B$2:B$486)-B373)/(MAX(B$2:B$486)-MIN(B$2:B$486))*100, 2)), "")</f>
        <v/>
      </c>
      <c r="AA373">
        <f>IF(AND(ISNUMBER(X373), ISNUMBER(MIN(X$2:X$486)), ISNUMBER(MAX(X$2:X$486))), IF(MAX(X$2:X$486)=MIN(X$2:X$486), 50, ROUND((MAX(X$2:X$486)-X373)/(MAX(X$2:X$486)-MIN(X$2:X$486))*100, 2)), "")</f>
        <v/>
      </c>
      <c r="AB373">
        <f>IF(AND(ISNUMBER(U373), ISNUMBER(MIN(U$2:U$486)), ISNUMBER(MAX(U$2:U$486))), IF(MAX(U$2:U$486)=MIN(U$2:U$486), 50, ROUND((U373-MIN(U$2:U$486))/(MAX(U$2:U$486)-MIN(U$2:U$486))*100, 2)), "")</f>
        <v/>
      </c>
      <c r="AC373">
        <f>IF(AND(ISNUMBER(Z373), ISNUMBER(AA373), ISNUMBER(AB373)), ROUND((Z373+AA373+AB373)/3, 2), "")</f>
        <v/>
      </c>
    </row>
    <row r="374">
      <c r="A374" t="n">
        <v>167472083</v>
      </c>
      <c r="B374" t="n">
        <v>1725</v>
      </c>
      <c r="C374" t="inlineStr">
        <is>
          <t>£1,725 pcm</t>
        </is>
      </c>
      <c r="D374" t="inlineStr">
        <is>
          <t>monthly</t>
        </is>
      </c>
      <c r="E374" t="inlineStr">
        <is>
          <t>Apartment</t>
        </is>
      </c>
      <c r="F374" t="n">
        <v>2</v>
      </c>
      <c r="G374" t="n">
        <v>1</v>
      </c>
      <c r="H374" t="inlineStr">
        <is>
          <t>Belsize Avenue, London, N13</t>
        </is>
      </c>
      <c r="I374" t="inlineStr">
        <is>
          <t xml:space="preserve"> A spacious split level first floor two bedroom flat with wooden floors. The property is in excellent condition throughout and has a large living room with bay window and feature fireplace, modern kitchen and bathroom with a separate WC and gas central heating. Located close to local shops o...</t>
        </is>
      </c>
      <c r="J374" t="inlineStr">
        <is>
          <t>https://www.rightmove.co.uk/properties/167472083#/?channel=RES_LET</t>
        </is>
      </c>
      <c r="K374" t="inlineStr">
        <is>
          <t>/property-to-rent/contactBranch.html?propertyId=167472083</t>
        </is>
      </c>
      <c r="L374" t="inlineStr">
        <is>
          <t>Ellis &amp; Co, Bounds Green</t>
        </is>
      </c>
      <c r="M374" t="n">
        <v>22943</v>
      </c>
      <c r="N374" t="inlineStr">
        <is>
          <t>Added on 26/09/2025</t>
        </is>
      </c>
      <c r="O374" t="inlineStr">
        <is>
          <t>2025-09-26T12:04:49Z</t>
        </is>
      </c>
      <c r="Q374" t="inlineStr">
        <is>
          <t>N13</t>
        </is>
      </c>
      <c r="R374" t="inlineStr">
        <is>
          <t>2025-10-16T17:42:34.947007</t>
        </is>
      </c>
      <c r="S374" t="inlineStr">
        <is>
          <t>{'let available date': '07/11/2025', 'deposit': '£1,990', 'min. tenancy': 'Ask agent', 'let type': 'Long term', 'furnish type': 'Part furnished', 'council tax': 'Ask agent'}</t>
        </is>
      </c>
      <c r="V374" t="b">
        <v>1</v>
      </c>
      <c r="X374" t="n">
        <v>18.01</v>
      </c>
      <c r="Y374" t="n">
        <v>52</v>
      </c>
      <c r="Z374">
        <f>IF(AND(ISNUMBER(B374), ISNUMBER(MIN(B$2:B$486)), ISNUMBER(MAX(B$2:B$486))), IF(MAX(B$2:B$486)=MIN(B$2:B$486), 50, ROUND((MAX(B$2:B$486)-B374)/(MAX(B$2:B$486)-MIN(B$2:B$486))*100, 2)), "")</f>
        <v/>
      </c>
      <c r="AA374">
        <f>IF(AND(ISNUMBER(X374), ISNUMBER(MIN(X$2:X$486)), ISNUMBER(MAX(X$2:X$486))), IF(MAX(X$2:X$486)=MIN(X$2:X$486), 50, ROUND((MAX(X$2:X$486)-X374)/(MAX(X$2:X$486)-MIN(X$2:X$486))*100, 2)), "")</f>
        <v/>
      </c>
      <c r="AB374">
        <f>IF(AND(ISNUMBER(U374), ISNUMBER(MIN(U$2:U$486)), ISNUMBER(MAX(U$2:U$486))), IF(MAX(U$2:U$486)=MIN(U$2:U$486), 50, ROUND((U374-MIN(U$2:U$486))/(MAX(U$2:U$486)-MIN(U$2:U$486))*100, 2)), "")</f>
        <v/>
      </c>
      <c r="AC374">
        <f>IF(AND(ISNUMBER(Z374), ISNUMBER(AA374), ISNUMBER(AB374)), ROUND((Z374+AA374+AB374)/3, 2), "")</f>
        <v/>
      </c>
    </row>
    <row r="375">
      <c r="A375" t="n">
        <v>167470373</v>
      </c>
      <c r="B375" t="n">
        <v>1700</v>
      </c>
      <c r="C375" t="inlineStr">
        <is>
          <t>£1,700 pcm</t>
        </is>
      </c>
      <c r="D375" t="inlineStr">
        <is>
          <t>monthly</t>
        </is>
      </c>
      <c r="E375" t="inlineStr">
        <is>
          <t>Flat</t>
        </is>
      </c>
      <c r="F375" t="n">
        <v>2</v>
      </c>
      <c r="G375" t="n">
        <v>1</v>
      </c>
      <c r="H375" t="inlineStr">
        <is>
          <t>Lancaster House, Lancaster Road, Enfield</t>
        </is>
      </c>
      <c r="I375" t="inlineStr">
        <is>
          <t>Two Bedroom Ground Floor Apartment, Available Now. The accommodation comprises two double bedrooms, spacious lounge, three piece bathroom suite bathroom and good size fitted kitchen with appliances. The property is within close proximity to an abundance of local shops and amen...</t>
        </is>
      </c>
      <c r="J375" t="inlineStr">
        <is>
          <t>https://www.rightmove.co.uk/properties/167470373#/?channel=RES_LET</t>
        </is>
      </c>
      <c r="K375" t="inlineStr">
        <is>
          <t>/property-to-rent/contactBranch.html?propertyId=167470373</t>
        </is>
      </c>
      <c r="L375" t="inlineStr">
        <is>
          <t>Kings Group, Enfield Town - Lettings</t>
        </is>
      </c>
      <c r="M375" t="n">
        <v>57562</v>
      </c>
      <c r="N375" t="inlineStr">
        <is>
          <t>Added on 26/09/2025</t>
        </is>
      </c>
      <c r="O375" t="inlineStr">
        <is>
          <t>2025-09-26T11:40:52Z</t>
        </is>
      </c>
      <c r="R375" t="inlineStr">
        <is>
          <t>2025-10-16T17:42:34.947009</t>
        </is>
      </c>
      <c r="S375" t="inlineStr">
        <is>
          <t>{'let available date': 'Now', 'deposit': '£1,700', 'min. tenancy': 'Ask agent', 'let type': 'Long term', 'furnish type': 'Unfurnished', 'council tax': 'Ask agent'}</t>
        </is>
      </c>
      <c r="V375" t="b">
        <v>1</v>
      </c>
      <c r="X375" t="n">
        <v>23.87</v>
      </c>
      <c r="Y375" t="n">
        <v>62</v>
      </c>
      <c r="Z375">
        <f>IF(AND(ISNUMBER(B375), ISNUMBER(MIN(B$2:B$486)), ISNUMBER(MAX(B$2:B$486))), IF(MAX(B$2:B$486)=MIN(B$2:B$486), 50, ROUND((MAX(B$2:B$486)-B375)/(MAX(B$2:B$486)-MIN(B$2:B$486))*100, 2)), "")</f>
        <v/>
      </c>
      <c r="AA375">
        <f>IF(AND(ISNUMBER(X375), ISNUMBER(MIN(X$2:X$486)), ISNUMBER(MAX(X$2:X$486))), IF(MAX(X$2:X$486)=MIN(X$2:X$486), 50, ROUND((MAX(X$2:X$486)-X375)/(MAX(X$2:X$486)-MIN(X$2:X$486))*100, 2)), "")</f>
        <v/>
      </c>
      <c r="AB375">
        <f>IF(AND(ISNUMBER(U375), ISNUMBER(MIN(U$2:U$486)), ISNUMBER(MAX(U$2:U$486))), IF(MAX(U$2:U$486)=MIN(U$2:U$486), 50, ROUND((U375-MIN(U$2:U$486))/(MAX(U$2:U$486)-MIN(U$2:U$486))*100, 2)), "")</f>
        <v/>
      </c>
      <c r="AC375">
        <f>IF(AND(ISNUMBER(Z375), ISNUMBER(AA375), ISNUMBER(AB375)), ROUND((Z375+AA375+AB375)/3, 2), "")</f>
        <v/>
      </c>
    </row>
    <row r="376">
      <c r="A376" t="n">
        <v>168231038</v>
      </c>
      <c r="B376" t="n">
        <v>1595</v>
      </c>
      <c r="C376" t="inlineStr">
        <is>
          <t>£1,595 pcm</t>
        </is>
      </c>
      <c r="D376" t="inlineStr">
        <is>
          <t>monthly</t>
        </is>
      </c>
      <c r="E376" t="inlineStr">
        <is>
          <t>Flat</t>
        </is>
      </c>
      <c r="F376" t="n">
        <v>2</v>
      </c>
      <c r="G376" t="n">
        <v>2</v>
      </c>
      <c r="H376" t="inlineStr">
        <is>
          <t>Deepdene Court, London, N21</t>
        </is>
      </c>
      <c r="I376" t="inlineStr">
        <is>
          <t>Beautiful spacious 2 bedroom flat on the 1st floor with a private garden, within 4 minutes walk to Grange Park Station, Thames Link, Fully fitted kitchen, 2 Double bedrooms, separate living room, Very nice tiled bathroom, available immediately</t>
        </is>
      </c>
      <c r="J376" t="inlineStr">
        <is>
          <t>https://www.rightmove.co.uk/properties/168231038#/?channel=RES_LET</t>
        </is>
      </c>
      <c r="K376" t="inlineStr">
        <is>
          <t>/property-to-rent/contactBranch.html?propertyId=168231038</t>
        </is>
      </c>
      <c r="L376" t="inlineStr">
        <is>
          <t>Live London Estates, Golders Green</t>
        </is>
      </c>
      <c r="M376" t="n">
        <v>141884</v>
      </c>
      <c r="N376" t="inlineStr">
        <is>
          <t>Added on 26/09/2025</t>
        </is>
      </c>
      <c r="O376" t="inlineStr">
        <is>
          <t>2025-10-15T23:37:38Z</t>
        </is>
      </c>
      <c r="Q376" t="inlineStr">
        <is>
          <t>N21</t>
        </is>
      </c>
      <c r="R376" t="inlineStr">
        <is>
          <t>2025-10-16T17:42:34.947012</t>
        </is>
      </c>
      <c r="S376" t="inlineStr">
        <is>
          <t>{'let available date': 'Now', 'deposit': '£1,595', 'min. tenancy': 'Ask agent', 'let type': 'Long term', 'furnish type': 'Furnished or unfurnished, landlord is flexible', 'council tax': 'Ask agent'}</t>
        </is>
      </c>
      <c r="V376" t="b">
        <v>1</v>
      </c>
      <c r="X376" t="n">
        <v>20.41</v>
      </c>
      <c r="Y376" t="n">
        <v>55.4</v>
      </c>
      <c r="Z376">
        <f>IF(AND(ISNUMBER(B376), ISNUMBER(MIN(B$2:B$486)), ISNUMBER(MAX(B$2:B$486))), IF(MAX(B$2:B$486)=MIN(B$2:B$486), 50, ROUND((MAX(B$2:B$486)-B376)/(MAX(B$2:B$486)-MIN(B$2:B$486))*100, 2)), "")</f>
        <v/>
      </c>
      <c r="AA376">
        <f>IF(AND(ISNUMBER(X376), ISNUMBER(MIN(X$2:X$486)), ISNUMBER(MAX(X$2:X$486))), IF(MAX(X$2:X$486)=MIN(X$2:X$486), 50, ROUND((MAX(X$2:X$486)-X376)/(MAX(X$2:X$486)-MIN(X$2:X$486))*100, 2)), "")</f>
        <v/>
      </c>
      <c r="AB376">
        <f>IF(AND(ISNUMBER(U376), ISNUMBER(MIN(U$2:U$486)), ISNUMBER(MAX(U$2:U$486))), IF(MAX(U$2:U$486)=MIN(U$2:U$486), 50, ROUND((U376-MIN(U$2:U$486))/(MAX(U$2:U$486)-MIN(U$2:U$486))*100, 2)), "")</f>
        <v/>
      </c>
      <c r="AC376">
        <f>IF(AND(ISNUMBER(Z376), ISNUMBER(AA376), ISNUMBER(AB376)), ROUND((Z376+AA376+AB376)/3, 2), "")</f>
        <v/>
      </c>
    </row>
    <row r="377">
      <c r="A377" t="n">
        <v>167436716</v>
      </c>
      <c r="B377" t="n">
        <v>1700</v>
      </c>
      <c r="C377" t="inlineStr">
        <is>
          <t>£1,700 pcm</t>
        </is>
      </c>
      <c r="D377" t="inlineStr">
        <is>
          <t>monthly</t>
        </is>
      </c>
      <c r="E377" t="inlineStr">
        <is>
          <t>Apartment</t>
        </is>
      </c>
      <c r="F377" t="n">
        <v>2</v>
      </c>
      <c r="G377" t="n">
        <v>1</v>
      </c>
      <c r="H377" t="inlineStr">
        <is>
          <t>Varsity Drive, Twickenham</t>
        </is>
      </c>
      <c r="I377" t="inlineStr">
        <is>
          <t>Set in this highly popular development, a modern two bedroom flat, which is presented in an excellent condition throughout and comprises a large living room, fitted kitchen with window to side, two good size bedrooms and a fitted bathroom. Additional features include allocated parking, green open...</t>
        </is>
      </c>
      <c r="J377" t="inlineStr">
        <is>
          <t>https://www.rightmove.co.uk/properties/167436716#/?channel=RES_LET</t>
        </is>
      </c>
      <c r="K377" t="inlineStr">
        <is>
          <t>/property-to-rent/contactBranch.html?propertyId=167436716</t>
        </is>
      </c>
      <c r="L377" t="inlineStr">
        <is>
          <t>Chase Buchanan, Twickenham &amp; Strawberry Hill - Lettings</t>
        </is>
      </c>
      <c r="M377" t="n">
        <v>48798</v>
      </c>
      <c r="N377" t="inlineStr">
        <is>
          <t>Added on 25/09/2025</t>
        </is>
      </c>
      <c r="O377" t="inlineStr">
        <is>
          <t>2025-09-25T17:08:29Z</t>
        </is>
      </c>
      <c r="R377" t="inlineStr">
        <is>
          <t>2025-10-16T17:42:34.947015</t>
        </is>
      </c>
      <c r="S377" t="inlineStr">
        <is>
          <t>{'let available date': 'Ask agent', 'deposit': '£1,961', 'min. tenancy': '12 months', 'let type': 'Long term', 'furnish type': 'Ask agent', 'council tax': 'Ask agent'}</t>
        </is>
      </c>
      <c r="T377" t="n">
        <v>549</v>
      </c>
      <c r="U377" t="n">
        <v>51</v>
      </c>
      <c r="V377" t="b">
        <v>1</v>
      </c>
      <c r="X377" t="n">
        <v>18</v>
      </c>
      <c r="Y377" t="n">
        <v>55.3</v>
      </c>
      <c r="Z377">
        <f>IF(AND(ISNUMBER(B377), ISNUMBER(MIN(B$2:B$486)), ISNUMBER(MAX(B$2:B$486))), IF(MAX(B$2:B$486)=MIN(B$2:B$486), 50, ROUND((MAX(B$2:B$486)-B377)/(MAX(B$2:B$486)-MIN(B$2:B$486))*100, 2)), "")</f>
        <v/>
      </c>
      <c r="AA377">
        <f>IF(AND(ISNUMBER(X377), ISNUMBER(MIN(X$2:X$486)), ISNUMBER(MAX(X$2:X$486))), IF(MAX(X$2:X$486)=MIN(X$2:X$486), 50, ROUND((MAX(X$2:X$486)-X377)/(MAX(X$2:X$486)-MIN(X$2:X$486))*100, 2)), "")</f>
        <v/>
      </c>
      <c r="AB377">
        <f>IF(AND(ISNUMBER(U377), ISNUMBER(MIN(U$2:U$486)), ISNUMBER(MAX(U$2:U$486))), IF(MAX(U$2:U$486)=MIN(U$2:U$486), 50, ROUND((U377-MIN(U$2:U$486))/(MAX(U$2:U$486)-MIN(U$2:U$486))*100, 2)), "")</f>
        <v/>
      </c>
      <c r="AC377">
        <f>IF(AND(ISNUMBER(Z377), ISNUMBER(AA377), ISNUMBER(AB377)), ROUND((Z377+AA377+AB377)/3, 2), "")</f>
        <v/>
      </c>
    </row>
    <row r="378">
      <c r="A378" t="n">
        <v>167430806</v>
      </c>
      <c r="B378" t="n">
        <v>403</v>
      </c>
      <c r="C378" t="inlineStr">
        <is>
          <t>£1,746 pcm</t>
        </is>
      </c>
      <c r="D378" t="inlineStr">
        <is>
          <t>weekly</t>
        </is>
      </c>
      <c r="E378" t="inlineStr">
        <is>
          <t>Flat</t>
        </is>
      </c>
      <c r="F378" t="n">
        <v>2</v>
      </c>
      <c r="G378" t="n">
        <v>1</v>
      </c>
      <c r="H378" t="inlineStr">
        <is>
          <t>Fortune Gate Road, Harlesden, NW10 9RB</t>
        </is>
      </c>
      <c r="I378" t="inlineStr">
        <is>
          <t>Modern 2 bedroom first floor flat * Two double bedrooms * Open plan kitchen/reception * Fully fitted bathroom * Laminated wood flooring * Bright and spacious * Close to local shops and amenities * Nearest tube Harlesden or Willesden Junction (Bakerloo or London Overgro...</t>
        </is>
      </c>
      <c r="J378" t="inlineStr">
        <is>
          <t>https://www.rightmove.co.uk/properties/167430806#/?channel=RES_LET</t>
        </is>
      </c>
      <c r="K378" t="inlineStr">
        <is>
          <t>/property-to-rent/contactBranch.html?propertyId=167430806</t>
        </is>
      </c>
      <c r="L378" t="inlineStr">
        <is>
          <t>Churchill &amp; Mathesons, Harlesden</t>
        </is>
      </c>
      <c r="M378" t="n">
        <v>266774</v>
      </c>
      <c r="N378" t="inlineStr">
        <is>
          <t>Added on 25/09/2025</t>
        </is>
      </c>
      <c r="O378" t="inlineStr">
        <is>
          <t>2025-09-25T15:50:38Z</t>
        </is>
      </c>
      <c r="Q378" t="inlineStr">
        <is>
          <t>NW10</t>
        </is>
      </c>
      <c r="R378" t="inlineStr">
        <is>
          <t>2025-10-16T17:42:34.947021</t>
        </is>
      </c>
      <c r="S378" t="inlineStr">
        <is>
          <t>{'let available date': 'Now', 'deposit': 'Ask agent', 'min. tenancy': 'Ask agent', 'let type': 'Long term', 'furnish type': 'Unfurnished', 'council tax': 'Ask agent'}</t>
        </is>
      </c>
      <c r="V378" t="b">
        <v>1</v>
      </c>
      <c r="X378" t="n">
        <v>12.4</v>
      </c>
      <c r="Y378" t="n">
        <v>41.1</v>
      </c>
      <c r="Z378">
        <f>IF(AND(ISNUMBER(B378), ISNUMBER(MIN(B$2:B$486)), ISNUMBER(MAX(B$2:B$486))), IF(MAX(B$2:B$486)=MIN(B$2:B$486), 50, ROUND((MAX(B$2:B$486)-B378)/(MAX(B$2:B$486)-MIN(B$2:B$486))*100, 2)), "")</f>
        <v/>
      </c>
      <c r="AA378">
        <f>IF(AND(ISNUMBER(X378), ISNUMBER(MIN(X$2:X$486)), ISNUMBER(MAX(X$2:X$486))), IF(MAX(X$2:X$486)=MIN(X$2:X$486), 50, ROUND((MAX(X$2:X$486)-X378)/(MAX(X$2:X$486)-MIN(X$2:X$486))*100, 2)), "")</f>
        <v/>
      </c>
      <c r="AB378">
        <f>IF(AND(ISNUMBER(U378), ISNUMBER(MIN(U$2:U$486)), ISNUMBER(MAX(U$2:U$486))), IF(MAX(U$2:U$486)=MIN(U$2:U$486), 50, ROUND((U378-MIN(U$2:U$486))/(MAX(U$2:U$486)-MIN(U$2:U$486))*100, 2)), "")</f>
        <v/>
      </c>
      <c r="AC378">
        <f>IF(AND(ISNUMBER(Z378), ISNUMBER(AA378), ISNUMBER(AB378)), ROUND((Z378+AA378+AB378)/3, 2), "")</f>
        <v/>
      </c>
    </row>
    <row r="379">
      <c r="A379" t="n">
        <v>165834518</v>
      </c>
      <c r="B379" t="n">
        <v>1700</v>
      </c>
      <c r="C379" t="inlineStr">
        <is>
          <t>£1,700 pcm</t>
        </is>
      </c>
      <c r="D379" t="inlineStr">
        <is>
          <t>monthly</t>
        </is>
      </c>
      <c r="E379" t="inlineStr">
        <is>
          <t>Flat</t>
        </is>
      </c>
      <c r="F379" t="n">
        <v>2</v>
      </c>
      <c r="G379" t="n">
        <v>1</v>
      </c>
      <c r="H379" t="inlineStr">
        <is>
          <t>Fyfield Road, Enfield, EN1</t>
        </is>
      </c>
      <c r="I379" t="inlineStr">
        <is>
          <t>Peter Barry are pleased to present this beautifully appointed first-floor Edwardian conversion, offering two well-proportioned bedrooms and set in the vibrant heart of Enfield Town. This charming property showcases a spacious lounge enhanced by an elegant feature fireplace, alongside a g...</t>
        </is>
      </c>
      <c r="J379" t="inlineStr">
        <is>
          <t>https://www.rightmove.co.uk/properties/165834518#/?channel=RES_LET</t>
        </is>
      </c>
      <c r="K379" t="inlineStr">
        <is>
          <t>/property-to-rent/contactBranch.html?propertyId=165834518</t>
        </is>
      </c>
      <c r="L379" t="inlineStr">
        <is>
          <t>Peter Barry Estate Agents, Winchmore Hill</t>
        </is>
      </c>
      <c r="M379" t="n">
        <v>256121</v>
      </c>
      <c r="N379" t="inlineStr">
        <is>
          <t>Reduced on 25/09/2025</t>
        </is>
      </c>
      <c r="O379" t="inlineStr">
        <is>
          <t>2025-08-16T14:51:54Z</t>
        </is>
      </c>
      <c r="Q379" t="inlineStr">
        <is>
          <t>EN1</t>
        </is>
      </c>
      <c r="R379" t="inlineStr">
        <is>
          <t>2025-10-16T17:42:34.947023</t>
        </is>
      </c>
      <c r="S379" t="inlineStr">
        <is>
          <t>{'let available date': 'Now', 'deposit': '£1,961', 'min. tenancy': 'Ask agent', 'let type': 'Long term', 'furnish type': 'Unfurnished', 'council tax': 'Ask agent'}</t>
        </is>
      </c>
      <c r="V379" t="b">
        <v>1</v>
      </c>
      <c r="X379" t="n">
        <v>20.62</v>
      </c>
      <c r="Y379" t="n">
        <v>62.4</v>
      </c>
      <c r="Z379">
        <f>IF(AND(ISNUMBER(B379), ISNUMBER(MIN(B$2:B$486)), ISNUMBER(MAX(B$2:B$486))), IF(MAX(B$2:B$486)=MIN(B$2:B$486), 50, ROUND((MAX(B$2:B$486)-B379)/(MAX(B$2:B$486)-MIN(B$2:B$486))*100, 2)), "")</f>
        <v/>
      </c>
      <c r="AA379">
        <f>IF(AND(ISNUMBER(X379), ISNUMBER(MIN(X$2:X$486)), ISNUMBER(MAX(X$2:X$486))), IF(MAX(X$2:X$486)=MIN(X$2:X$486), 50, ROUND((MAX(X$2:X$486)-X379)/(MAX(X$2:X$486)-MIN(X$2:X$486))*100, 2)), "")</f>
        <v/>
      </c>
      <c r="AB379">
        <f>IF(AND(ISNUMBER(U379), ISNUMBER(MIN(U$2:U$486)), ISNUMBER(MAX(U$2:U$486))), IF(MAX(U$2:U$486)=MIN(U$2:U$486), 50, ROUND((U379-MIN(U$2:U$486))/(MAX(U$2:U$486)-MIN(U$2:U$486))*100, 2)), "")</f>
        <v/>
      </c>
      <c r="AC379">
        <f>IF(AND(ISNUMBER(Z379), ISNUMBER(AA379), ISNUMBER(AB379)), ROUND((Z379+AA379+AB379)/3, 2), "")</f>
        <v/>
      </c>
    </row>
    <row r="380">
      <c r="A380" t="n">
        <v>167129423</v>
      </c>
      <c r="B380" t="n">
        <v>1600</v>
      </c>
      <c r="C380" t="inlineStr">
        <is>
          <t>£1,600 pcm</t>
        </is>
      </c>
      <c r="D380" t="inlineStr">
        <is>
          <t>monthly</t>
        </is>
      </c>
      <c r="E380" t="inlineStr">
        <is>
          <t>Apartment</t>
        </is>
      </c>
      <c r="F380" t="n">
        <v>2</v>
      </c>
      <c r="G380" t="n">
        <v>1</v>
      </c>
      <c r="H380" t="inlineStr">
        <is>
          <t>Maldon Road, Wallington, SM6</t>
        </is>
      </c>
      <c r="I380" t="inlineStr">
        <is>
          <t>A Superbly presented 2 DOUBLE BEDROOM FIRST FLOOR apartment with shared parking, walking distance to Wallington High Street &amp; the Mainline Station. Available UNFURNISHED from the 16th of October 2025. Well presented, this is an ALL ELECTRIC FLAT, ideally situated is a residential side street,...</t>
        </is>
      </c>
      <c r="J380" t="inlineStr">
        <is>
          <t>https://www.rightmove.co.uk/properties/167129423#/?channel=RES_LET</t>
        </is>
      </c>
      <c r="K380" t="inlineStr">
        <is>
          <t>/property-to-rent/contactBranch.html?propertyId=167129423</t>
        </is>
      </c>
      <c r="L380" t="inlineStr">
        <is>
          <t>Martin &amp; Co, Sutton</t>
        </is>
      </c>
      <c r="M380" t="n">
        <v>80767</v>
      </c>
      <c r="N380" t="inlineStr">
        <is>
          <t>Added on 25/09/2025</t>
        </is>
      </c>
      <c r="O380" t="inlineStr">
        <is>
          <t>2025-09-25T10:58:17Z</t>
        </is>
      </c>
      <c r="Q380" t="inlineStr">
        <is>
          <t>SM6</t>
        </is>
      </c>
      <c r="R380" t="inlineStr">
        <is>
          <t>2025-10-16T17:42:34.947026</t>
        </is>
      </c>
      <c r="S380" t="inlineStr">
        <is>
          <t>{'let available date': 'Now', 'deposit': '£1,846', 'min. tenancy': 'Ask agent', 'let type': 'Long term', 'furnish type': 'Unfurnished', 'council tax': 'Ask agent'}</t>
        </is>
      </c>
      <c r="V380" t="b">
        <v>1</v>
      </c>
      <c r="X380" t="n">
        <v>20.45</v>
      </c>
      <c r="Y380" t="n">
        <v>64.59999999999999</v>
      </c>
      <c r="Z380">
        <f>IF(AND(ISNUMBER(B380), ISNUMBER(MIN(B$2:B$486)), ISNUMBER(MAX(B$2:B$486))), IF(MAX(B$2:B$486)=MIN(B$2:B$486), 50, ROUND((MAX(B$2:B$486)-B380)/(MAX(B$2:B$486)-MIN(B$2:B$486))*100, 2)), "")</f>
        <v/>
      </c>
      <c r="AA380">
        <f>IF(AND(ISNUMBER(X380), ISNUMBER(MIN(X$2:X$486)), ISNUMBER(MAX(X$2:X$486))), IF(MAX(X$2:X$486)=MIN(X$2:X$486), 50, ROUND((MAX(X$2:X$486)-X380)/(MAX(X$2:X$486)-MIN(X$2:X$486))*100, 2)), "")</f>
        <v/>
      </c>
      <c r="AB380">
        <f>IF(AND(ISNUMBER(U380), ISNUMBER(MIN(U$2:U$486)), ISNUMBER(MAX(U$2:U$486))), IF(MAX(U$2:U$486)=MIN(U$2:U$486), 50, ROUND((U380-MIN(U$2:U$486))/(MAX(U$2:U$486)-MIN(U$2:U$486))*100, 2)), "")</f>
        <v/>
      </c>
      <c r="AC380">
        <f>IF(AND(ISNUMBER(Z380), ISNUMBER(AA380), ISNUMBER(AB380)), ROUND((Z380+AA380+AB380)/3, 2), "")</f>
        <v/>
      </c>
    </row>
    <row r="381">
      <c r="A381" t="n">
        <v>167384633</v>
      </c>
      <c r="B381" t="n">
        <v>1650</v>
      </c>
      <c r="C381" t="inlineStr">
        <is>
          <t>£1,650 pcm</t>
        </is>
      </c>
      <c r="D381" t="inlineStr">
        <is>
          <t>monthly</t>
        </is>
      </c>
      <c r="E381" t="inlineStr">
        <is>
          <t>Flat</t>
        </is>
      </c>
      <c r="F381" t="n">
        <v>2</v>
      </c>
      <c r="G381" t="n">
        <v>1</v>
      </c>
      <c r="H381" t="inlineStr">
        <is>
          <t>Avenue Road, Croydon, London, SE25</t>
        </is>
      </c>
      <c r="I381" t="inlineStr">
        <is>
          <t>This stylish, purpose-built 2-bedroom flat is situated on the first floor of a well-maintained development. Designed for modern living, the property is filled with natural light thanks to its full-length windows, which offer pleasant views over the landscaped communal lawns at the front.</t>
        </is>
      </c>
      <c r="J381" t="inlineStr">
        <is>
          <t>https://www.rightmove.co.uk/properties/167384633#/?channel=RES_LET</t>
        </is>
      </c>
      <c r="K381" t="inlineStr">
        <is>
          <t>/property-to-rent/contactBranch.html?propertyId=167384633</t>
        </is>
      </c>
      <c r="L381" t="inlineStr">
        <is>
          <t>Samuel Estates, Streatham</t>
        </is>
      </c>
      <c r="M381" t="n">
        <v>252779</v>
      </c>
      <c r="N381" t="inlineStr">
        <is>
          <t>Added on 24/09/2025</t>
        </is>
      </c>
      <c r="O381" t="inlineStr">
        <is>
          <t>2025-09-24T18:24:42Z</t>
        </is>
      </c>
      <c r="Q381" t="inlineStr">
        <is>
          <t>SE25</t>
        </is>
      </c>
      <c r="R381" t="inlineStr">
        <is>
          <t>2025-10-16T17:42:34.947029</t>
        </is>
      </c>
      <c r="S381" t="inlineStr">
        <is>
          <t>{'let available date': 'Now', 'deposit': '£1,903', 'min. tenancy': 'Ask agent', 'let type': 'Long term', 'furnish type': 'Unfurnished', 'council tax': 'Ask agent'}</t>
        </is>
      </c>
      <c r="V381" t="b">
        <v>1</v>
      </c>
      <c r="X381" t="n">
        <v>16.69</v>
      </c>
      <c r="Y381" t="n">
        <v>52.9</v>
      </c>
      <c r="Z381">
        <f>IF(AND(ISNUMBER(B381), ISNUMBER(MIN(B$2:B$486)), ISNUMBER(MAX(B$2:B$486))), IF(MAX(B$2:B$486)=MIN(B$2:B$486), 50, ROUND((MAX(B$2:B$486)-B381)/(MAX(B$2:B$486)-MIN(B$2:B$486))*100, 2)), "")</f>
        <v/>
      </c>
      <c r="AA381">
        <f>IF(AND(ISNUMBER(X381), ISNUMBER(MIN(X$2:X$486)), ISNUMBER(MAX(X$2:X$486))), IF(MAX(X$2:X$486)=MIN(X$2:X$486), 50, ROUND((MAX(X$2:X$486)-X381)/(MAX(X$2:X$486)-MIN(X$2:X$486))*100, 2)), "")</f>
        <v/>
      </c>
      <c r="AB381">
        <f>IF(AND(ISNUMBER(U381), ISNUMBER(MIN(U$2:U$486)), ISNUMBER(MAX(U$2:U$486))), IF(MAX(U$2:U$486)=MIN(U$2:U$486), 50, ROUND((U381-MIN(U$2:U$486))/(MAX(U$2:U$486)-MIN(U$2:U$486))*100, 2)), "")</f>
        <v/>
      </c>
      <c r="AC381">
        <f>IF(AND(ISNUMBER(Z381), ISNUMBER(AA381), ISNUMBER(AB381)), ROUND((Z381+AA381+AB381)/3, 2), "")</f>
        <v/>
      </c>
    </row>
    <row r="382">
      <c r="A382" t="n">
        <v>167382242</v>
      </c>
      <c r="B382" t="n">
        <v>1700</v>
      </c>
      <c r="C382" t="inlineStr">
        <is>
          <t>£1,700 pcm</t>
        </is>
      </c>
      <c r="D382" t="inlineStr">
        <is>
          <t>monthly</t>
        </is>
      </c>
      <c r="E382" t="inlineStr">
        <is>
          <t>Ground Maisonette</t>
        </is>
      </c>
      <c r="F382" t="n">
        <v>2</v>
      </c>
      <c r="G382" t="n">
        <v>1</v>
      </c>
      <c r="H382" t="inlineStr">
        <is>
          <t>Brunswick Road, Sutton</t>
        </is>
      </c>
      <c r="I382" t="inlineStr">
        <is>
          <t>Two Bedroom Ground Floor Maisonette In Sutton</t>
        </is>
      </c>
      <c r="J382" t="inlineStr">
        <is>
          <t>https://www.rightmove.co.uk/properties/167382242#/?channel=RES_LET</t>
        </is>
      </c>
      <c r="K382" t="inlineStr">
        <is>
          <t>/property-to-rent/contactBranch.html?propertyId=167382242</t>
        </is>
      </c>
      <c r="L382" t="inlineStr">
        <is>
          <t>Heaven Estate Agents, London</t>
        </is>
      </c>
      <c r="M382" t="n">
        <v>225752</v>
      </c>
      <c r="N382" t="inlineStr">
        <is>
          <t>Added on 24/09/2025</t>
        </is>
      </c>
      <c r="O382" t="inlineStr">
        <is>
          <t>2025-09-24T17:23:02Z</t>
        </is>
      </c>
      <c r="R382" t="inlineStr">
        <is>
          <t>2025-10-16T17:42:34.947032</t>
        </is>
      </c>
      <c r="S382" t="inlineStr">
        <is>
          <t>{'let available date': 'Now', 'deposit': '£1,962', 'min. tenancy': 'Ask agent', 'let type': 'Long term', 'furnish type': 'Unfurnished', 'council tax': 'Ask agent'}</t>
        </is>
      </c>
      <c r="V382" t="b">
        <v>1</v>
      </c>
      <c r="X382" t="n">
        <v>20.38</v>
      </c>
      <c r="Y382" t="n">
        <v>62.2</v>
      </c>
      <c r="Z382">
        <f>IF(AND(ISNUMBER(B382), ISNUMBER(MIN(B$2:B$486)), ISNUMBER(MAX(B$2:B$486))), IF(MAX(B$2:B$486)=MIN(B$2:B$486), 50, ROUND((MAX(B$2:B$486)-B382)/(MAX(B$2:B$486)-MIN(B$2:B$486))*100, 2)), "")</f>
        <v/>
      </c>
      <c r="AA382">
        <f>IF(AND(ISNUMBER(X382), ISNUMBER(MIN(X$2:X$486)), ISNUMBER(MAX(X$2:X$486))), IF(MAX(X$2:X$486)=MIN(X$2:X$486), 50, ROUND((MAX(X$2:X$486)-X382)/(MAX(X$2:X$486)-MIN(X$2:X$486))*100, 2)), "")</f>
        <v/>
      </c>
      <c r="AB382">
        <f>IF(AND(ISNUMBER(U382), ISNUMBER(MIN(U$2:U$486)), ISNUMBER(MAX(U$2:U$486))), IF(MAX(U$2:U$486)=MIN(U$2:U$486), 50, ROUND((U382-MIN(U$2:U$486))/(MAX(U$2:U$486)-MIN(U$2:U$486))*100, 2)), "")</f>
        <v/>
      </c>
      <c r="AC382">
        <f>IF(AND(ISNUMBER(Z382), ISNUMBER(AA382), ISNUMBER(AB382)), ROUND((Z382+AA382+AB382)/3, 2), "")</f>
        <v/>
      </c>
    </row>
    <row r="383">
      <c r="A383" t="n">
        <v>167378513</v>
      </c>
      <c r="B383" t="n">
        <v>1600</v>
      </c>
      <c r="C383" t="inlineStr">
        <is>
          <t>£1,600 pcm</t>
        </is>
      </c>
      <c r="D383" t="inlineStr">
        <is>
          <t>monthly</t>
        </is>
      </c>
      <c r="E383" t="inlineStr">
        <is>
          <t>Flat</t>
        </is>
      </c>
      <c r="F383" t="n">
        <v>2</v>
      </c>
      <c r="H383" t="inlineStr">
        <is>
          <t>Idmiston Road, London, KT4</t>
        </is>
      </c>
      <c r="I383" t="inlineStr">
        <is>
          <t>Connor Prince are pleased to offer this well presented two bedroom first floor purpose built flat with an 18'1 X 12'9 lounge, fitted kitchen with appliances, white bathroom suite and reserved parking space. Situated in a residential road close to local shops, bus stops and Worcester Park's station.</t>
        </is>
      </c>
      <c r="J383" t="inlineStr">
        <is>
          <t>https://www.rightmove.co.uk/properties/167378513#/?channel=RES_LET</t>
        </is>
      </c>
      <c r="K383" t="inlineStr">
        <is>
          <t>/property-to-rent/contactBranch.html?propertyId=167378513</t>
        </is>
      </c>
      <c r="L383" t="inlineStr">
        <is>
          <t>Connor Prince, Worcester Park</t>
        </is>
      </c>
      <c r="M383" t="n">
        <v>23486</v>
      </c>
      <c r="N383" t="inlineStr">
        <is>
          <t>Added on 24/09/2025</t>
        </is>
      </c>
      <c r="O383" t="inlineStr">
        <is>
          <t>2025-09-24T16:36:38Z</t>
        </is>
      </c>
      <c r="Q383" t="inlineStr">
        <is>
          <t>KT4</t>
        </is>
      </c>
      <c r="R383" t="inlineStr">
        <is>
          <t>2025-10-16T17:42:34.947034</t>
        </is>
      </c>
      <c r="S383" t="inlineStr">
        <is>
          <t>{'let available date': '19/10/2025', 'deposit': '£1,846', 'min. tenancy': 'Ask agent', 'let type': 'Long term', 'furnish type': 'Unfurnished', 'council tax': 'Ask agent'}</t>
        </is>
      </c>
      <c r="V383" t="b">
        <v>1</v>
      </c>
      <c r="X383" t="n">
        <v>23.23</v>
      </c>
      <c r="Y383" t="n">
        <v>61.1</v>
      </c>
      <c r="Z383">
        <f>IF(AND(ISNUMBER(B383), ISNUMBER(MIN(B$2:B$486)), ISNUMBER(MAX(B$2:B$486))), IF(MAX(B$2:B$486)=MIN(B$2:B$486), 50, ROUND((MAX(B$2:B$486)-B383)/(MAX(B$2:B$486)-MIN(B$2:B$486))*100, 2)), "")</f>
        <v/>
      </c>
      <c r="AA383">
        <f>IF(AND(ISNUMBER(X383), ISNUMBER(MIN(X$2:X$486)), ISNUMBER(MAX(X$2:X$486))), IF(MAX(X$2:X$486)=MIN(X$2:X$486), 50, ROUND((MAX(X$2:X$486)-X383)/(MAX(X$2:X$486)-MIN(X$2:X$486))*100, 2)), "")</f>
        <v/>
      </c>
      <c r="AB383">
        <f>IF(AND(ISNUMBER(U383), ISNUMBER(MIN(U$2:U$486)), ISNUMBER(MAX(U$2:U$486))), IF(MAX(U$2:U$486)=MIN(U$2:U$486), 50, ROUND((U383-MIN(U$2:U$486))/(MAX(U$2:U$486)-MIN(U$2:U$486))*100, 2)), "")</f>
        <v/>
      </c>
      <c r="AC383">
        <f>IF(AND(ISNUMBER(Z383), ISNUMBER(AA383), ISNUMBER(AB383)), ROUND((Z383+AA383+AB383)/3, 2), "")</f>
        <v/>
      </c>
    </row>
    <row r="384">
      <c r="A384" t="n">
        <v>167376680</v>
      </c>
      <c r="B384" t="n">
        <v>1700</v>
      </c>
      <c r="C384" t="inlineStr">
        <is>
          <t>£1,700 pcm</t>
        </is>
      </c>
      <c r="D384" t="inlineStr">
        <is>
          <t>monthly</t>
        </is>
      </c>
      <c r="E384" t="inlineStr">
        <is>
          <t>Flat</t>
        </is>
      </c>
      <c r="F384" t="n">
        <v>2</v>
      </c>
      <c r="G384" t="n">
        <v>1</v>
      </c>
      <c r="H384" t="inlineStr">
        <is>
          <t>Dunnock Close, Enfield, London, N9</t>
        </is>
      </c>
      <c r="I384" t="inlineStr">
        <is>
          <t>Equity Estate Agents are pleased to present this two-bedroom second floor flat. The property features a spacious lounge, a separate fitted kitchen with white goods, two well-proportioned bedrooms, and a bathroom. Further benefits include communal parking for residents.</t>
        </is>
      </c>
      <c r="J384" t="inlineStr">
        <is>
          <t>https://www.rightmove.co.uk/properties/167376680#/?channel=RES_LET</t>
        </is>
      </c>
      <c r="K384" t="inlineStr">
        <is>
          <t>/property-to-rent/contactBranch.html?propertyId=167376680</t>
        </is>
      </c>
      <c r="L384" t="inlineStr">
        <is>
          <t>Equity Estate Agents, Enfield - Lettings</t>
        </is>
      </c>
      <c r="M384" t="n">
        <v>35516</v>
      </c>
      <c r="N384" t="inlineStr">
        <is>
          <t>Added on 24/09/2025</t>
        </is>
      </c>
      <c r="O384" t="inlineStr">
        <is>
          <t>2025-09-24T16:08:52Z</t>
        </is>
      </c>
      <c r="Q384" t="inlineStr">
        <is>
          <t>N9</t>
        </is>
      </c>
      <c r="R384" t="inlineStr">
        <is>
          <t>2025-10-16T17:42:34.947037</t>
        </is>
      </c>
      <c r="S384" t="inlineStr">
        <is>
          <t>{'let available date': 'Ask agent', 'deposit': '£1,700', 'min. tenancy': '12 months', 'let type': 'Long term', 'furnish type': 'Part furnished', 'council tax': 'Ask agent'}</t>
        </is>
      </c>
      <c r="V384" t="b">
        <v>1</v>
      </c>
      <c r="X384" t="n">
        <v>18.31</v>
      </c>
      <c r="Y384" t="n">
        <v>54.2</v>
      </c>
      <c r="Z384">
        <f>IF(AND(ISNUMBER(B384), ISNUMBER(MIN(B$2:B$486)), ISNUMBER(MAX(B$2:B$486))), IF(MAX(B$2:B$486)=MIN(B$2:B$486), 50, ROUND((MAX(B$2:B$486)-B384)/(MAX(B$2:B$486)-MIN(B$2:B$486))*100, 2)), "")</f>
        <v/>
      </c>
      <c r="AA384">
        <f>IF(AND(ISNUMBER(X384), ISNUMBER(MIN(X$2:X$486)), ISNUMBER(MAX(X$2:X$486))), IF(MAX(X$2:X$486)=MIN(X$2:X$486), 50, ROUND((MAX(X$2:X$486)-X384)/(MAX(X$2:X$486)-MIN(X$2:X$486))*100, 2)), "")</f>
        <v/>
      </c>
      <c r="AB384">
        <f>IF(AND(ISNUMBER(U384), ISNUMBER(MIN(U$2:U$486)), ISNUMBER(MAX(U$2:U$486))), IF(MAX(U$2:U$486)=MIN(U$2:U$486), 50, ROUND((U384-MIN(U$2:U$486))/(MAX(U$2:U$486)-MIN(U$2:U$486))*100, 2)), "")</f>
        <v/>
      </c>
      <c r="AC384">
        <f>IF(AND(ISNUMBER(Z384), ISNUMBER(AA384), ISNUMBER(AB384)), ROUND((Z384+AA384+AB384)/3, 2), "")</f>
        <v/>
      </c>
    </row>
    <row r="385">
      <c r="A385" t="n">
        <v>167027327</v>
      </c>
      <c r="B385" t="n">
        <v>1750</v>
      </c>
      <c r="C385" t="inlineStr">
        <is>
          <t>£1,750 pcm</t>
        </is>
      </c>
      <c r="D385" t="inlineStr">
        <is>
          <t>monthly</t>
        </is>
      </c>
      <c r="E385" t="inlineStr">
        <is>
          <t>Apartment</t>
        </is>
      </c>
      <c r="F385" t="n">
        <v>2</v>
      </c>
      <c r="G385" t="n">
        <v>2</v>
      </c>
      <c r="H385" t="inlineStr">
        <is>
          <t>The Avenue, WORCESTER PARK</t>
        </is>
      </c>
      <c r="I385" t="inlineStr">
        <is>
          <t>**Zero Deposit Available**
This lovely two bedroom apartment is situated on the first floor on one of Worcester Park desirable road, only a short walk to Worcester Park BR and high street.</t>
        </is>
      </c>
      <c r="J385" t="inlineStr">
        <is>
          <t>https://www.rightmove.co.uk/properties/167027327#/?channel=RES_LET</t>
        </is>
      </c>
      <c r="K385" t="inlineStr">
        <is>
          <t>/property-to-rent/contactBranch.html?propertyId=167027327</t>
        </is>
      </c>
      <c r="L385" t="inlineStr">
        <is>
          <t>Barnard Marcus Lettings, Epsom - Lettings</t>
        </is>
      </c>
      <c r="M385" t="n">
        <v>36477</v>
      </c>
      <c r="N385" t="inlineStr">
        <is>
          <t>Reduced on 24/09/2025</t>
        </is>
      </c>
      <c r="O385" t="inlineStr">
        <is>
          <t>2025-09-16T08:43:57Z</t>
        </is>
      </c>
      <c r="R385" t="inlineStr">
        <is>
          <t>2025-10-16T17:42:34.947040</t>
        </is>
      </c>
      <c r="S385" t="inlineStr">
        <is>
          <t>{'let available date': 'Now', 'deposit': '£2,076', 'min. tenancy': 'Ask agent', 'let type': 'Long term', 'furnish type': 'Unfurnished', 'council tax': 'Ask agent'}</t>
        </is>
      </c>
      <c r="V385" t="b">
        <v>1</v>
      </c>
      <c r="X385" t="n">
        <v>22.02</v>
      </c>
      <c r="Y385" t="n">
        <v>57.8</v>
      </c>
      <c r="Z385">
        <f>IF(AND(ISNUMBER(B385), ISNUMBER(MIN(B$2:B$486)), ISNUMBER(MAX(B$2:B$486))), IF(MAX(B$2:B$486)=MIN(B$2:B$486), 50, ROUND((MAX(B$2:B$486)-B385)/(MAX(B$2:B$486)-MIN(B$2:B$486))*100, 2)), "")</f>
        <v/>
      </c>
      <c r="AA385">
        <f>IF(AND(ISNUMBER(X385), ISNUMBER(MIN(X$2:X$486)), ISNUMBER(MAX(X$2:X$486))), IF(MAX(X$2:X$486)=MIN(X$2:X$486), 50, ROUND((MAX(X$2:X$486)-X385)/(MAX(X$2:X$486)-MIN(X$2:X$486))*100, 2)), "")</f>
        <v/>
      </c>
      <c r="AB385">
        <f>IF(AND(ISNUMBER(U385), ISNUMBER(MIN(U$2:U$486)), ISNUMBER(MAX(U$2:U$486))), IF(MAX(U$2:U$486)=MIN(U$2:U$486), 50, ROUND((U385-MIN(U$2:U$486))/(MAX(U$2:U$486)-MIN(U$2:U$486))*100, 2)), "")</f>
        <v/>
      </c>
      <c r="AC385">
        <f>IF(AND(ISNUMBER(Z385), ISNUMBER(AA385), ISNUMBER(AB385)), ROUND((Z385+AA385+AB385)/3, 2), "")</f>
        <v/>
      </c>
    </row>
    <row r="386">
      <c r="A386" t="n">
        <v>166913936</v>
      </c>
      <c r="B386" t="n">
        <v>1600</v>
      </c>
      <c r="C386" t="inlineStr">
        <is>
          <t>£1,600 pcm</t>
        </is>
      </c>
      <c r="D386" t="inlineStr">
        <is>
          <t>monthly</t>
        </is>
      </c>
      <c r="E386" t="inlineStr">
        <is>
          <t>Flat</t>
        </is>
      </c>
      <c r="F386" t="n">
        <v>2</v>
      </c>
      <c r="G386" t="n">
        <v>1</v>
      </c>
      <c r="H386" t="inlineStr">
        <is>
          <t>Bargery Road, Catford</t>
        </is>
      </c>
      <c r="I386" t="inlineStr">
        <is>
          <t>A first floor period conversion at just under 630 sqft. This property has two double bedrooms and a large bay fronted open-plan living space and a bathroom with a shower over the bath.</t>
        </is>
      </c>
      <c r="J386" t="inlineStr">
        <is>
          <t>https://www.rightmove.co.uk/properties/166913936#/?channel=RES_LET</t>
        </is>
      </c>
      <c r="K386" t="inlineStr">
        <is>
          <t>/property-to-rent/contactBranch.html?propertyId=166913936</t>
        </is>
      </c>
      <c r="L386" t="inlineStr">
        <is>
          <t>Dexters, Lewisham</t>
        </is>
      </c>
      <c r="M386" t="n">
        <v>66897</v>
      </c>
      <c r="N386" t="inlineStr">
        <is>
          <t>Reduced on 24/09/2025</t>
        </is>
      </c>
      <c r="O386" t="inlineStr">
        <is>
          <t>2025-09-12T10:41:42Z</t>
        </is>
      </c>
      <c r="R386" t="inlineStr">
        <is>
          <t>2025-10-16T17:42:36.455582</t>
        </is>
      </c>
      <c r="S386" t="inlineStr">
        <is>
          <t>{'let available date': 'Ask agent', 'deposit': '£1,904', 'min. tenancy': 'Ask agent', 'let type': 'Long term', 'furnish type': 'Unfurnished', 'council tax': 'Ask agent'}</t>
        </is>
      </c>
      <c r="V386" t="b">
        <v>1</v>
      </c>
      <c r="X386" t="n">
        <v>14.67</v>
      </c>
      <c r="Y386" t="n">
        <v>50.6</v>
      </c>
      <c r="Z386">
        <f>IF(AND(ISNUMBER(B386), ISNUMBER(MIN(B$2:B$486)), ISNUMBER(MAX(B$2:B$486))), IF(MAX(B$2:B$486)=MIN(B$2:B$486), 50, ROUND((MAX(B$2:B$486)-B386)/(MAX(B$2:B$486)-MIN(B$2:B$486))*100, 2)), "")</f>
        <v/>
      </c>
      <c r="AA386">
        <f>IF(AND(ISNUMBER(X386), ISNUMBER(MIN(X$2:X$486)), ISNUMBER(MAX(X$2:X$486))), IF(MAX(X$2:X$486)=MIN(X$2:X$486), 50, ROUND((MAX(X$2:X$486)-X386)/(MAX(X$2:X$486)-MIN(X$2:X$486))*100, 2)), "")</f>
        <v/>
      </c>
      <c r="AB386">
        <f>IF(AND(ISNUMBER(U386), ISNUMBER(MIN(U$2:U$486)), ISNUMBER(MAX(U$2:U$486))), IF(MAX(U$2:U$486)=MIN(U$2:U$486), 50, ROUND((U386-MIN(U$2:U$486))/(MAX(U$2:U$486)-MIN(U$2:U$486))*100, 2)), "")</f>
        <v/>
      </c>
      <c r="AC386">
        <f>IF(AND(ISNUMBER(Z386), ISNUMBER(AA386), ISNUMBER(AB386)), ROUND((Z386+AA386+AB386)/3, 2), "")</f>
        <v/>
      </c>
    </row>
    <row r="387">
      <c r="A387" t="n">
        <v>133346288</v>
      </c>
      <c r="B387" t="n">
        <v>1500</v>
      </c>
      <c r="C387" t="inlineStr">
        <is>
          <t>£1,500 pcm</t>
        </is>
      </c>
      <c r="D387" t="inlineStr">
        <is>
          <t>monthly</t>
        </is>
      </c>
      <c r="E387" t="inlineStr">
        <is>
          <t>Flat</t>
        </is>
      </c>
      <c r="F387" t="n">
        <v>2</v>
      </c>
      <c r="G387" t="n">
        <v>1</v>
      </c>
      <c r="H387" t="inlineStr">
        <is>
          <t>Central Road, Worcester Park, Surrey, KT4</t>
        </is>
      </c>
      <c r="I387" t="inlineStr">
        <is>
          <t>A first floor two bedroom flat with a lounge 13'9 X 12'4, fitted kitchen with appliances, white bathroom suite and an outside terrace space. Situated on Central Road with its various shops, restaurants and mainline station giving access to Waterloo in 25 minutes.</t>
        </is>
      </c>
      <c r="J387" t="inlineStr">
        <is>
          <t>https://www.rightmove.co.uk/properties/133346288#/?channel=RES_LET</t>
        </is>
      </c>
      <c r="K387" t="inlineStr">
        <is>
          <t>/property-to-rent/contactBranch.html?propertyId=133346288</t>
        </is>
      </c>
      <c r="L387" t="inlineStr">
        <is>
          <t>Connor Prince, Worcester Park</t>
        </is>
      </c>
      <c r="M387" t="n">
        <v>23486</v>
      </c>
      <c r="N387" t="inlineStr">
        <is>
          <t>Added on 24/09/2025</t>
        </is>
      </c>
      <c r="O387" t="inlineStr">
        <is>
          <t>2023-04-13T14:54:18Z</t>
        </is>
      </c>
      <c r="Q387" t="inlineStr">
        <is>
          <t>KT4</t>
        </is>
      </c>
      <c r="R387" t="inlineStr">
        <is>
          <t>2025-10-16T17:42:36.455587</t>
        </is>
      </c>
      <c r="S387" t="inlineStr">
        <is>
          <t>{'let available date': 'Now', 'deposit': '£1,730', 'min. tenancy': 'Ask agent', 'let type': 'Long term', 'furnish type': 'Unfurnished', 'council tax': 'Ask agent'}</t>
        </is>
      </c>
      <c r="V387" t="b">
        <v>1</v>
      </c>
      <c r="X387" t="n">
        <v>23.23</v>
      </c>
      <c r="Y387" t="n">
        <v>61.1</v>
      </c>
      <c r="Z387">
        <f>IF(AND(ISNUMBER(B387), ISNUMBER(MIN(B$2:B$486)), ISNUMBER(MAX(B$2:B$486))), IF(MAX(B$2:B$486)=MIN(B$2:B$486), 50, ROUND((MAX(B$2:B$486)-B387)/(MAX(B$2:B$486)-MIN(B$2:B$486))*100, 2)), "")</f>
        <v/>
      </c>
      <c r="AA387">
        <f>IF(AND(ISNUMBER(X387), ISNUMBER(MIN(X$2:X$486)), ISNUMBER(MAX(X$2:X$486))), IF(MAX(X$2:X$486)=MIN(X$2:X$486), 50, ROUND((MAX(X$2:X$486)-X387)/(MAX(X$2:X$486)-MIN(X$2:X$486))*100, 2)), "")</f>
        <v/>
      </c>
      <c r="AB387">
        <f>IF(AND(ISNUMBER(U387), ISNUMBER(MIN(U$2:U$486)), ISNUMBER(MAX(U$2:U$486))), IF(MAX(U$2:U$486)=MIN(U$2:U$486), 50, ROUND((U387-MIN(U$2:U$486))/(MAX(U$2:U$486)-MIN(U$2:U$486))*100, 2)), "")</f>
        <v/>
      </c>
      <c r="AC387">
        <f>IF(AND(ISNUMBER(Z387), ISNUMBER(AA387), ISNUMBER(AB387)), ROUND((Z387+AA387+AB387)/3, 2), "")</f>
        <v/>
      </c>
    </row>
    <row r="388">
      <c r="A388" t="n">
        <v>167218031</v>
      </c>
      <c r="B388" t="n">
        <v>1750</v>
      </c>
      <c r="C388" t="inlineStr">
        <is>
          <t>£1,750 pcm</t>
        </is>
      </c>
      <c r="D388" t="inlineStr">
        <is>
          <t>monthly</t>
        </is>
      </c>
      <c r="E388" t="inlineStr">
        <is>
          <t>Flat</t>
        </is>
      </c>
      <c r="F388" t="n">
        <v>2</v>
      </c>
      <c r="G388" t="n">
        <v>1</v>
      </c>
      <c r="H388" t="inlineStr">
        <is>
          <t>South Street, Isleworth</t>
        </is>
      </c>
      <c r="I388" t="inlineStr">
        <is>
          <t>Available NOW - Bright and contemporary two-bedroom apartment in a modern Isleworth development. Features open-plan living, fitted wardrobes, private terrace, air conditioning, and secure gated parking. Close to Richmond, Syon House, and excellent transport links.</t>
        </is>
      </c>
      <c r="J388" t="inlineStr">
        <is>
          <t>https://www.rightmove.co.uk/properties/167218031#/?channel=RES_LET</t>
        </is>
      </c>
      <c r="K388" t="inlineStr">
        <is>
          <t>/property-to-rent/contactBranch.html?propertyId=167218031</t>
        </is>
      </c>
      <c r="L388" t="inlineStr">
        <is>
          <t>Citydeal Estates, London</t>
        </is>
      </c>
      <c r="M388" t="n">
        <v>96880</v>
      </c>
      <c r="N388" t="inlineStr">
        <is>
          <t>Added on 24/09/2025</t>
        </is>
      </c>
      <c r="O388" t="inlineStr">
        <is>
          <t>2025-09-20T00:05:18Z</t>
        </is>
      </c>
      <c r="R388" t="inlineStr">
        <is>
          <t>2025-10-16T17:42:36.455596</t>
        </is>
      </c>
      <c r="S388" t="inlineStr">
        <is>
          <t>{'let available date': 'Ask agent', 'deposit': '£2,015', 'min. tenancy': 'Ask agent', 'let type': 'Long term', 'furnish type': 'Furnished', 'council tax': 'Ask agent'}</t>
        </is>
      </c>
      <c r="T388" t="n">
        <v>689</v>
      </c>
      <c r="U388" t="n">
        <v>64</v>
      </c>
      <c r="V388" t="b">
        <v>1</v>
      </c>
      <c r="X388" t="n">
        <v>17.61</v>
      </c>
      <c r="Y388" t="n">
        <v>53.5</v>
      </c>
      <c r="Z388">
        <f>IF(AND(ISNUMBER(B388), ISNUMBER(MIN(B$2:B$486)), ISNUMBER(MAX(B$2:B$486))), IF(MAX(B$2:B$486)=MIN(B$2:B$486), 50, ROUND((MAX(B$2:B$486)-B388)/(MAX(B$2:B$486)-MIN(B$2:B$486))*100, 2)), "")</f>
        <v/>
      </c>
      <c r="AA388">
        <f>IF(AND(ISNUMBER(X388), ISNUMBER(MIN(X$2:X$486)), ISNUMBER(MAX(X$2:X$486))), IF(MAX(X$2:X$486)=MIN(X$2:X$486), 50, ROUND((MAX(X$2:X$486)-X388)/(MAX(X$2:X$486)-MIN(X$2:X$486))*100, 2)), "")</f>
        <v/>
      </c>
      <c r="AB388">
        <f>IF(AND(ISNUMBER(U388), ISNUMBER(MIN(U$2:U$486)), ISNUMBER(MAX(U$2:U$486))), IF(MAX(U$2:U$486)=MIN(U$2:U$486), 50, ROUND((U388-MIN(U$2:U$486))/(MAX(U$2:U$486)-MIN(U$2:U$486))*100, 2)), "")</f>
        <v/>
      </c>
      <c r="AC388">
        <f>IF(AND(ISNUMBER(Z388), ISNUMBER(AA388), ISNUMBER(AB388)), ROUND((Z388+AA388+AB388)/3, 2), "")</f>
        <v/>
      </c>
    </row>
    <row r="389">
      <c r="A389" t="n">
        <v>136032317</v>
      </c>
      <c r="B389" t="n">
        <v>1600</v>
      </c>
      <c r="C389" t="inlineStr">
        <is>
          <t>£1,600 pcm</t>
        </is>
      </c>
      <c r="D389" t="inlineStr">
        <is>
          <t>monthly</t>
        </is>
      </c>
      <c r="E389" t="inlineStr">
        <is>
          <t>Apartment</t>
        </is>
      </c>
      <c r="F389" t="n">
        <v>2</v>
      </c>
      <c r="G389" t="n">
        <v>1</v>
      </c>
      <c r="H389" t="inlineStr">
        <is>
          <t>Anerley Park, Penge, London, SE20</t>
        </is>
      </c>
      <c r="I389" t="inlineStr">
        <is>
          <t xml:space="preserve">Winkworth is pleased to offer this two double bedroom top floor flat for rent in a period conversion, Located on the desirable Anerley Park. The accommodation comprises; open plan kitchen &amp; reception room with access onto the private balcony, two double bedrooms and bathroom. </t>
        </is>
      </c>
      <c r="J389" t="inlineStr">
        <is>
          <t>https://www.rightmove.co.uk/properties/136032317#/?channel=RES_LET</t>
        </is>
      </c>
      <c r="K389" t="inlineStr">
        <is>
          <t>/property-to-rent/contactBranch.html?propertyId=136032317</t>
        </is>
      </c>
      <c r="L389" t="inlineStr">
        <is>
          <t>Winkworth Crystal Palace, Crystal Palace</t>
        </is>
      </c>
      <c r="M389" t="n">
        <v>68930</v>
      </c>
      <c r="N389" t="inlineStr">
        <is>
          <t>Added on 24/09/2025</t>
        </is>
      </c>
      <c r="O389" t="inlineStr">
        <is>
          <t>2023-06-12T16:53:12Z</t>
        </is>
      </c>
      <c r="Q389" t="inlineStr">
        <is>
          <t>SE20</t>
        </is>
      </c>
      <c r="R389" t="inlineStr">
        <is>
          <t>2025-10-16T17:42:36.455600</t>
        </is>
      </c>
      <c r="S389" t="inlineStr">
        <is>
          <t>{'let available date': '14/11/2025', 'deposit': '£0', 'min. tenancy': 'Ask agent', 'let type': 'Long term', 'furnish type': 'Unfurnished', 'council tax': 'Ask agent'}</t>
        </is>
      </c>
      <c r="V389" t="b">
        <v>1</v>
      </c>
      <c r="X389" t="n">
        <v>15.17</v>
      </c>
      <c r="Y389" t="n">
        <v>49.6</v>
      </c>
      <c r="Z389">
        <f>IF(AND(ISNUMBER(B389), ISNUMBER(MIN(B$2:B$486)), ISNUMBER(MAX(B$2:B$486))), IF(MAX(B$2:B$486)=MIN(B$2:B$486), 50, ROUND((MAX(B$2:B$486)-B389)/(MAX(B$2:B$486)-MIN(B$2:B$486))*100, 2)), "")</f>
        <v/>
      </c>
      <c r="AA389">
        <f>IF(AND(ISNUMBER(X389), ISNUMBER(MIN(X$2:X$486)), ISNUMBER(MAX(X$2:X$486))), IF(MAX(X$2:X$486)=MIN(X$2:X$486), 50, ROUND((MAX(X$2:X$486)-X389)/(MAX(X$2:X$486)-MIN(X$2:X$486))*100, 2)), "")</f>
        <v/>
      </c>
      <c r="AB389">
        <f>IF(AND(ISNUMBER(U389), ISNUMBER(MIN(U$2:U$486)), ISNUMBER(MAX(U$2:U$486))), IF(MAX(U$2:U$486)=MIN(U$2:U$486), 50, ROUND((U389-MIN(U$2:U$486))/(MAX(U$2:U$486)-MIN(U$2:U$486))*100, 2)), "")</f>
        <v/>
      </c>
      <c r="AC389">
        <f>IF(AND(ISNUMBER(Z389), ISNUMBER(AA389), ISNUMBER(AB389)), ROUND((Z389+AA389+AB389)/3, 2), "")</f>
        <v/>
      </c>
    </row>
    <row r="390">
      <c r="A390" t="n">
        <v>167347523</v>
      </c>
      <c r="B390" t="n">
        <v>1750</v>
      </c>
      <c r="C390" t="inlineStr">
        <is>
          <t>£1,750 pcm</t>
        </is>
      </c>
      <c r="D390" t="inlineStr">
        <is>
          <t>monthly</t>
        </is>
      </c>
      <c r="E390" t="inlineStr">
        <is>
          <t>Flat</t>
        </is>
      </c>
      <c r="F390" t="n">
        <v>2</v>
      </c>
      <c r="G390" t="n">
        <v>1</v>
      </c>
      <c r="H390" t="inlineStr">
        <is>
          <t>Bedale Road, London, EN2</t>
        </is>
      </c>
      <c r="I390" t="inlineStr">
        <is>
          <t>Lords Property is pleased to offer this 2 bedroom flat in Enfield, EN2. Located in a desirable location in Enfield Chase.</t>
        </is>
      </c>
      <c r="J390" t="inlineStr">
        <is>
          <t>https://www.rightmove.co.uk/properties/167347523#/?channel=RES_LET</t>
        </is>
      </c>
      <c r="K390" t="inlineStr">
        <is>
          <t>/property-to-rent/contactBranch.html?propertyId=167347523</t>
        </is>
      </c>
      <c r="L390" t="inlineStr">
        <is>
          <t>Lords Property, Enfield</t>
        </is>
      </c>
      <c r="M390" t="n">
        <v>249026</v>
      </c>
      <c r="N390" t="inlineStr">
        <is>
          <t>Added on 24/09/2025</t>
        </is>
      </c>
      <c r="O390" t="inlineStr">
        <is>
          <t>2025-09-24T09:42:39Z</t>
        </is>
      </c>
      <c r="Q390" t="inlineStr">
        <is>
          <t>EN2</t>
        </is>
      </c>
      <c r="R390" t="inlineStr">
        <is>
          <t>2025-10-16T17:42:36.455603</t>
        </is>
      </c>
      <c r="S390" t="inlineStr">
        <is>
          <t>{'let available date': 'Now', 'deposit': 'Ask agent', 'min. tenancy': 'Ask agent', 'let type': 'Long term', 'furnish type': 'Unfurnished', 'council tax': 'Ask agent'}</t>
        </is>
      </c>
      <c r="V390" t="b">
        <v>1</v>
      </c>
      <c r="X390" t="n">
        <v>23.71</v>
      </c>
      <c r="Y390" t="n">
        <v>62</v>
      </c>
      <c r="Z390">
        <f>IF(AND(ISNUMBER(B390), ISNUMBER(MIN(B$2:B$486)), ISNUMBER(MAX(B$2:B$486))), IF(MAX(B$2:B$486)=MIN(B$2:B$486), 50, ROUND((MAX(B$2:B$486)-B390)/(MAX(B$2:B$486)-MIN(B$2:B$486))*100, 2)), "")</f>
        <v/>
      </c>
      <c r="AA390">
        <f>IF(AND(ISNUMBER(X390), ISNUMBER(MIN(X$2:X$486)), ISNUMBER(MAX(X$2:X$486))), IF(MAX(X$2:X$486)=MIN(X$2:X$486), 50, ROUND((MAX(X$2:X$486)-X390)/(MAX(X$2:X$486)-MIN(X$2:X$486))*100, 2)), "")</f>
        <v/>
      </c>
      <c r="AB390">
        <f>IF(AND(ISNUMBER(U390), ISNUMBER(MIN(U$2:U$486)), ISNUMBER(MAX(U$2:U$486))), IF(MAX(U$2:U$486)=MIN(U$2:U$486), 50, ROUND((U390-MIN(U$2:U$486))/(MAX(U$2:U$486)-MIN(U$2:U$486))*100, 2)), "")</f>
        <v/>
      </c>
      <c r="AC390">
        <f>IF(AND(ISNUMBER(Z390), ISNUMBER(AA390), ISNUMBER(AB390)), ROUND((Z390+AA390+AB390)/3, 2), "")</f>
        <v/>
      </c>
    </row>
    <row r="391">
      <c r="A391" t="n">
        <v>167328176</v>
      </c>
      <c r="B391" t="n">
        <v>1600</v>
      </c>
      <c r="C391" t="inlineStr">
        <is>
          <t>£1,600 pcm</t>
        </is>
      </c>
      <c r="D391" t="inlineStr">
        <is>
          <t>monthly</t>
        </is>
      </c>
      <c r="E391" t="inlineStr">
        <is>
          <t>Flat</t>
        </is>
      </c>
      <c r="F391" t="n">
        <v>2</v>
      </c>
      <c r="G391" t="n">
        <v>1</v>
      </c>
      <c r="H391" t="inlineStr">
        <is>
          <t>Mottingham Road, London, SE9</t>
        </is>
      </c>
      <c r="I391" t="inlineStr">
        <is>
          <t xml:space="preserve">Your Move are delighted to present this top floor two bedroom flat, situated in the heart of Mottingham High Street - available early October 2025 contact us to arrange your viewing </t>
        </is>
      </c>
      <c r="J391" t="inlineStr">
        <is>
          <t>https://www.rightmove.co.uk/properties/167328176#/?channel=RES_LET</t>
        </is>
      </c>
      <c r="K391" t="inlineStr">
        <is>
          <t>/property-to-rent/contactBranch.html?propertyId=167328176</t>
        </is>
      </c>
      <c r="L391" t="inlineStr">
        <is>
          <t>Your Move, Eltham</t>
        </is>
      </c>
      <c r="M391" t="n">
        <v>34806</v>
      </c>
      <c r="N391" t="inlineStr">
        <is>
          <t>Added on 23/09/2025</t>
        </is>
      </c>
      <c r="O391" t="inlineStr">
        <is>
          <t>2025-09-23T17:31:50Z</t>
        </is>
      </c>
      <c r="Q391" t="inlineStr">
        <is>
          <t>SE9</t>
        </is>
      </c>
      <c r="R391" t="inlineStr">
        <is>
          <t>2025-10-16T17:42:36.455607</t>
        </is>
      </c>
      <c r="S391" t="inlineStr">
        <is>
          <t>{'let available date': 'Now', 'deposit': '£1,846', 'min. tenancy': '6 months', 'let type': 'Long term', 'furnish type': 'Unfurnished', 'council tax': 'Ask agent'}</t>
        </is>
      </c>
      <c r="V391" t="b">
        <v>1</v>
      </c>
      <c r="X391" t="n">
        <v>22.55</v>
      </c>
      <c r="Y391" t="n">
        <v>51.8</v>
      </c>
      <c r="Z391">
        <f>IF(AND(ISNUMBER(B391), ISNUMBER(MIN(B$2:B$486)), ISNUMBER(MAX(B$2:B$486))), IF(MAX(B$2:B$486)=MIN(B$2:B$486), 50, ROUND((MAX(B$2:B$486)-B391)/(MAX(B$2:B$486)-MIN(B$2:B$486))*100, 2)), "")</f>
        <v/>
      </c>
      <c r="AA391">
        <f>IF(AND(ISNUMBER(X391), ISNUMBER(MIN(X$2:X$486)), ISNUMBER(MAX(X$2:X$486))), IF(MAX(X$2:X$486)=MIN(X$2:X$486), 50, ROUND((MAX(X$2:X$486)-X391)/(MAX(X$2:X$486)-MIN(X$2:X$486))*100, 2)), "")</f>
        <v/>
      </c>
      <c r="AB391">
        <f>IF(AND(ISNUMBER(U391), ISNUMBER(MIN(U$2:U$486)), ISNUMBER(MAX(U$2:U$486))), IF(MAX(U$2:U$486)=MIN(U$2:U$486), 50, ROUND((U391-MIN(U$2:U$486))/(MAX(U$2:U$486)-MIN(U$2:U$486))*100, 2)), "")</f>
        <v/>
      </c>
      <c r="AC391">
        <f>IF(AND(ISNUMBER(Z391), ISNUMBER(AA391), ISNUMBER(AB391)), ROUND((Z391+AA391+AB391)/3, 2), "")</f>
        <v/>
      </c>
    </row>
    <row r="392">
      <c r="A392" t="n">
        <v>167324897</v>
      </c>
      <c r="B392" t="n">
        <v>1650</v>
      </c>
      <c r="C392" t="inlineStr">
        <is>
          <t>£1,650 pcm</t>
        </is>
      </c>
      <c r="D392" t="inlineStr">
        <is>
          <t>monthly</t>
        </is>
      </c>
      <c r="E392" t="inlineStr">
        <is>
          <t>Maisonette</t>
        </is>
      </c>
      <c r="F392" t="n">
        <v>2</v>
      </c>
      <c r="G392" t="n">
        <v>1</v>
      </c>
      <c r="H392" t="inlineStr">
        <is>
          <t>Holtwhites Hill, Enfield EN2</t>
        </is>
      </c>
      <c r="I392" t="inlineStr">
        <is>
          <t>Addison Townsend are pleased to present this modern ground floor maisonette with communal gardens between 4 flats &amp; private shed for storage. Bright &amp; airy throughout, windows in every room, the property offers a double bedroom &amp; 2nd small bedroom, large lounge, white tiled bathroom &amp; fitted whit...</t>
        </is>
      </c>
      <c r="J392" t="inlineStr">
        <is>
          <t>https://www.rightmove.co.uk/properties/167324897#/?channel=RES_LET</t>
        </is>
      </c>
      <c r="K392" t="inlineStr">
        <is>
          <t>/property-to-rent/contactBranch.html?propertyId=167324897</t>
        </is>
      </c>
      <c r="L392" t="inlineStr">
        <is>
          <t>Addison Townsend, Southgate</t>
        </is>
      </c>
      <c r="M392" t="n">
        <v>38757</v>
      </c>
      <c r="N392" t="inlineStr">
        <is>
          <t>Added on 23/09/2025</t>
        </is>
      </c>
      <c r="O392" t="inlineStr">
        <is>
          <t>2025-09-23T16:50:10Z</t>
        </is>
      </c>
      <c r="Q392" t="inlineStr">
        <is>
          <t>EN2</t>
        </is>
      </c>
      <c r="R392" t="inlineStr">
        <is>
          <t>2025-10-16T17:42:36.455620</t>
        </is>
      </c>
      <c r="S392" t="inlineStr">
        <is>
          <t>{'let available date': 'Now', 'deposit': '£1,903', 'min. tenancy': '12 months', 'let type': 'Long term', 'furnish type': 'Unfurnished', 'council tax': 'Ask agent'}</t>
        </is>
      </c>
      <c r="V392" t="b">
        <v>1</v>
      </c>
      <c r="X392" t="n">
        <v>23.71</v>
      </c>
      <c r="Y392" t="n">
        <v>62.1</v>
      </c>
      <c r="Z392">
        <f>IF(AND(ISNUMBER(B392), ISNUMBER(MIN(B$2:B$486)), ISNUMBER(MAX(B$2:B$486))), IF(MAX(B$2:B$486)=MIN(B$2:B$486), 50, ROUND((MAX(B$2:B$486)-B392)/(MAX(B$2:B$486)-MIN(B$2:B$486))*100, 2)), "")</f>
        <v/>
      </c>
      <c r="AA392">
        <f>IF(AND(ISNUMBER(X392), ISNUMBER(MIN(X$2:X$486)), ISNUMBER(MAX(X$2:X$486))), IF(MAX(X$2:X$486)=MIN(X$2:X$486), 50, ROUND((MAX(X$2:X$486)-X392)/(MAX(X$2:X$486)-MIN(X$2:X$486))*100, 2)), "")</f>
        <v/>
      </c>
      <c r="AB392">
        <f>IF(AND(ISNUMBER(U392), ISNUMBER(MIN(U$2:U$486)), ISNUMBER(MAX(U$2:U$486))), IF(MAX(U$2:U$486)=MIN(U$2:U$486), 50, ROUND((U392-MIN(U$2:U$486))/(MAX(U$2:U$486)-MIN(U$2:U$486))*100, 2)), "")</f>
        <v/>
      </c>
      <c r="AC392">
        <f>IF(AND(ISNUMBER(Z392), ISNUMBER(AA392), ISNUMBER(AB392)), ROUND((Z392+AA392+AB392)/3, 2), "")</f>
        <v/>
      </c>
    </row>
    <row r="393">
      <c r="A393" t="n">
        <v>164914826</v>
      </c>
      <c r="B393" t="n">
        <v>1750</v>
      </c>
      <c r="C393" t="inlineStr">
        <is>
          <t>£1,750 pcm</t>
        </is>
      </c>
      <c r="D393" t="inlineStr">
        <is>
          <t>monthly</t>
        </is>
      </c>
      <c r="E393" t="inlineStr">
        <is>
          <t>Apartment</t>
        </is>
      </c>
      <c r="F393" t="n">
        <v>2</v>
      </c>
      <c r="G393" t="n">
        <v>0</v>
      </c>
      <c r="H393" t="inlineStr">
        <is>
          <t>Cadogan Court, Sutton</t>
        </is>
      </c>
      <c r="I393" t="inlineStr">
        <is>
          <t>**Spacious Two-Bedroom Apartment at Cadogan Court, Sutton** We are pleased to offer this unfurnished two-bedroom apartment located in the desirable Cadogan Court, a short walk from the centre of Sutton.</t>
        </is>
      </c>
      <c r="J393" t="inlineStr">
        <is>
          <t>https://www.rightmove.co.uk/properties/164914826#/?channel=RES_LET</t>
        </is>
      </c>
      <c r="K393" t="inlineStr">
        <is>
          <t>/property-to-rent/contactBranch.html?propertyId=164914826</t>
        </is>
      </c>
      <c r="L393" t="inlineStr">
        <is>
          <t>Woodlands Estate Agents, Redhill - Lettings</t>
        </is>
      </c>
      <c r="M393" t="n">
        <v>68008</v>
      </c>
      <c r="N393" t="inlineStr">
        <is>
          <t>Reduced on 23/09/2025</t>
        </is>
      </c>
      <c r="O393" t="inlineStr">
        <is>
          <t>2025-07-24T16:02:46Z</t>
        </is>
      </c>
      <c r="R393" t="inlineStr">
        <is>
          <t>2025-10-16T17:42:36.455624</t>
        </is>
      </c>
      <c r="S393" t="inlineStr">
        <is>
          <t>{'let available date': 'Now', 'deposit': '£2,019', 'min. tenancy': 'Ask agent', 'let type': 'Long term', 'furnish type': 'Unfurnished', 'council tax': 'Ask agent'}</t>
        </is>
      </c>
      <c r="V393" t="b">
        <v>1</v>
      </c>
      <c r="X393" t="n">
        <v>21.89</v>
      </c>
      <c r="Y393" t="n">
        <v>64.3</v>
      </c>
      <c r="Z393">
        <f>IF(AND(ISNUMBER(B393), ISNUMBER(MIN(B$2:B$486)), ISNUMBER(MAX(B$2:B$486))), IF(MAX(B$2:B$486)=MIN(B$2:B$486), 50, ROUND((MAX(B$2:B$486)-B393)/(MAX(B$2:B$486)-MIN(B$2:B$486))*100, 2)), "")</f>
        <v/>
      </c>
      <c r="AA393">
        <f>IF(AND(ISNUMBER(X393), ISNUMBER(MIN(X$2:X$486)), ISNUMBER(MAX(X$2:X$486))), IF(MAX(X$2:X$486)=MIN(X$2:X$486), 50, ROUND((MAX(X$2:X$486)-X393)/(MAX(X$2:X$486)-MIN(X$2:X$486))*100, 2)), "")</f>
        <v/>
      </c>
      <c r="AB393">
        <f>IF(AND(ISNUMBER(U393), ISNUMBER(MIN(U$2:U$486)), ISNUMBER(MAX(U$2:U$486))), IF(MAX(U$2:U$486)=MIN(U$2:U$486), 50, ROUND((U393-MIN(U$2:U$486))/(MAX(U$2:U$486)-MIN(U$2:U$486))*100, 2)), "")</f>
        <v/>
      </c>
      <c r="AC393">
        <f>IF(AND(ISNUMBER(Z393), ISNUMBER(AA393), ISNUMBER(AB393)), ROUND((Z393+AA393+AB393)/3, 2), "")</f>
        <v/>
      </c>
    </row>
    <row r="394">
      <c r="A394" t="n">
        <v>167313068</v>
      </c>
      <c r="B394" t="n">
        <v>1750</v>
      </c>
      <c r="C394" t="inlineStr">
        <is>
          <t>£1,750 pcm</t>
        </is>
      </c>
      <c r="D394" t="inlineStr">
        <is>
          <t>monthly</t>
        </is>
      </c>
      <c r="E394" t="inlineStr">
        <is>
          <t>Flat</t>
        </is>
      </c>
      <c r="F394" t="n">
        <v>2</v>
      </c>
      <c r="G394" t="n">
        <v>1</v>
      </c>
      <c r="H394" t="inlineStr">
        <is>
          <t>Amersham Road, SE14 6QF</t>
        </is>
      </c>
      <c r="I394" t="inlineStr">
        <is>
          <t>Ad1 Properties presents this charming 2-bedroom flat located in the heart of Lewisham. Situated within a well-maintained building on the first floor, this apartment offers a comfortable and modern living space that is perfect for professional</t>
        </is>
      </c>
      <c r="J394" t="inlineStr">
        <is>
          <t>https://www.rightmove.co.uk/properties/167313068#/?channel=RES_LET</t>
        </is>
      </c>
      <c r="K394" t="inlineStr">
        <is>
          <t>/property-to-rent/contactBranch.html?propertyId=167313068</t>
        </is>
      </c>
      <c r="L394" t="inlineStr">
        <is>
          <t>AD1 Properties, London</t>
        </is>
      </c>
      <c r="M394" t="n">
        <v>286295</v>
      </c>
      <c r="N394" t="inlineStr">
        <is>
          <t>Added on 23/09/2025</t>
        </is>
      </c>
      <c r="O394" t="inlineStr">
        <is>
          <t>2025-09-23T14:07:40Z</t>
        </is>
      </c>
      <c r="Q394" t="inlineStr">
        <is>
          <t>SE14</t>
        </is>
      </c>
      <c r="R394" t="inlineStr">
        <is>
          <t>2025-10-16T17:42:36.455627</t>
        </is>
      </c>
      <c r="S394" t="inlineStr">
        <is>
          <t>{'let available date': 'Now', 'deposit': 'Ask agent', 'min. tenancy': 'Ask agent', 'let type': 'Long term', 'furnish type': 'Furnished or unfurnished, landlord is flexible', 'council tax': 'Ask agent'}</t>
        </is>
      </c>
      <c r="V394" t="b">
        <v>1</v>
      </c>
      <c r="X394" t="n">
        <v>9.35</v>
      </c>
      <c r="Y394" t="n">
        <v>37.1</v>
      </c>
      <c r="Z394">
        <f>IF(AND(ISNUMBER(B394), ISNUMBER(MIN(B$2:B$486)), ISNUMBER(MAX(B$2:B$486))), IF(MAX(B$2:B$486)=MIN(B$2:B$486), 50, ROUND((MAX(B$2:B$486)-B394)/(MAX(B$2:B$486)-MIN(B$2:B$486))*100, 2)), "")</f>
        <v/>
      </c>
      <c r="AA394">
        <f>IF(AND(ISNUMBER(X394), ISNUMBER(MIN(X$2:X$486)), ISNUMBER(MAX(X$2:X$486))), IF(MAX(X$2:X$486)=MIN(X$2:X$486), 50, ROUND((MAX(X$2:X$486)-X394)/(MAX(X$2:X$486)-MIN(X$2:X$486))*100, 2)), "")</f>
        <v/>
      </c>
      <c r="AB394">
        <f>IF(AND(ISNUMBER(U394), ISNUMBER(MIN(U$2:U$486)), ISNUMBER(MAX(U$2:U$486))), IF(MAX(U$2:U$486)=MIN(U$2:U$486), 50, ROUND((U394-MIN(U$2:U$486))/(MAX(U$2:U$486)-MIN(U$2:U$486))*100, 2)), "")</f>
        <v/>
      </c>
      <c r="AC394">
        <f>IF(AND(ISNUMBER(Z394), ISNUMBER(AA394), ISNUMBER(AB394)), ROUND((Z394+AA394+AB394)/3, 2), "")</f>
        <v/>
      </c>
    </row>
    <row r="395">
      <c r="A395" t="n">
        <v>168207629</v>
      </c>
      <c r="B395" t="n">
        <v>1700</v>
      </c>
      <c r="C395" t="inlineStr">
        <is>
          <t>£1,700 pcm</t>
        </is>
      </c>
      <c r="D395" t="inlineStr">
        <is>
          <t>monthly</t>
        </is>
      </c>
      <c r="E395" t="inlineStr">
        <is>
          <t>Flat</t>
        </is>
      </c>
      <c r="F395" t="n">
        <v>2</v>
      </c>
      <c r="G395" t="n">
        <v>1</v>
      </c>
      <c r="H395" t="inlineStr">
        <is>
          <t>Homefield Park, Sutton, SM1</t>
        </is>
      </c>
      <c r="I395" t="inlineStr">
        <is>
          <t>***AVAILABLE NOW - FULLY FURNISHED TWO BEDROOM APARTMENT*** Situated in SUTTON walking distance to Mainline Station and Town Centre. The property has been redecorated and situated on the Fourth Floor with Lift Service and comprises of Entrance Hall with Storage, fitted Kitchen with Gas Hob/Electr...</t>
        </is>
      </c>
      <c r="J395" t="inlineStr">
        <is>
          <t>https://www.rightmove.co.uk/properties/168207629#/?channel=RES_LET</t>
        </is>
      </c>
      <c r="K395" t="inlineStr">
        <is>
          <t>/property-to-rent/contactBranch.html?propertyId=168207629</t>
        </is>
      </c>
      <c r="L395" t="inlineStr">
        <is>
          <t>Leaders Lettings, Sutton</t>
        </is>
      </c>
      <c r="M395" t="n">
        <v>5845</v>
      </c>
      <c r="N395" t="inlineStr">
        <is>
          <t>Reduced on 23/09/2025</t>
        </is>
      </c>
      <c r="O395" t="inlineStr">
        <is>
          <t>2025-10-15T14:39:29Z</t>
        </is>
      </c>
      <c r="Q395" t="inlineStr">
        <is>
          <t>SM1</t>
        </is>
      </c>
      <c r="R395" t="inlineStr">
        <is>
          <t>2025-10-16T17:42:36.455630</t>
        </is>
      </c>
      <c r="S395" t="inlineStr">
        <is>
          <t>{'let available date': '22/10/2025', 'deposit': 'Ask agent', 'min. tenancy': 'Ask agent', 'let type': 'Long term', 'furnish type': 'Furnished', 'council tax': 'Ask agent'}</t>
        </is>
      </c>
      <c r="V395" t="b">
        <v>1</v>
      </c>
      <c r="X395" t="n">
        <v>19.91</v>
      </c>
      <c r="Y395" t="n">
        <v>61.4</v>
      </c>
      <c r="Z395">
        <f>IF(AND(ISNUMBER(B395), ISNUMBER(MIN(B$2:B$486)), ISNUMBER(MAX(B$2:B$486))), IF(MAX(B$2:B$486)=MIN(B$2:B$486), 50, ROUND((MAX(B$2:B$486)-B395)/(MAX(B$2:B$486)-MIN(B$2:B$486))*100, 2)), "")</f>
        <v/>
      </c>
      <c r="AA395">
        <f>IF(AND(ISNUMBER(X395), ISNUMBER(MIN(X$2:X$486)), ISNUMBER(MAX(X$2:X$486))), IF(MAX(X$2:X$486)=MIN(X$2:X$486), 50, ROUND((MAX(X$2:X$486)-X395)/(MAX(X$2:X$486)-MIN(X$2:X$486))*100, 2)), "")</f>
        <v/>
      </c>
      <c r="AB395">
        <f>IF(AND(ISNUMBER(U395), ISNUMBER(MIN(U$2:U$486)), ISNUMBER(MAX(U$2:U$486))), IF(MAX(U$2:U$486)=MIN(U$2:U$486), 50, ROUND((U395-MIN(U$2:U$486))/(MAX(U$2:U$486)-MIN(U$2:U$486))*100, 2)), "")</f>
        <v/>
      </c>
      <c r="AC395">
        <f>IF(AND(ISNUMBER(Z395), ISNUMBER(AA395), ISNUMBER(AB395)), ROUND((Z395+AA395+AB395)/3, 2), "")</f>
        <v/>
      </c>
    </row>
    <row r="396">
      <c r="A396" t="n">
        <v>167301434</v>
      </c>
      <c r="B396" t="n">
        <v>1750</v>
      </c>
      <c r="C396" t="inlineStr">
        <is>
          <t>£1,750 pcm</t>
        </is>
      </c>
      <c r="D396" t="inlineStr">
        <is>
          <t>monthly</t>
        </is>
      </c>
      <c r="E396" t="inlineStr">
        <is>
          <t>Apartment</t>
        </is>
      </c>
      <c r="F396" t="n">
        <v>2</v>
      </c>
      <c r="G396" t="n">
        <v>1</v>
      </c>
      <c r="H396" t="inlineStr">
        <is>
          <t>Beaconsfield Road, London, N11</t>
        </is>
      </c>
      <c r="I396" t="inlineStr">
        <is>
          <t>Available Immediately! This spacious and well-presented 2-bedroom ground floor flat is perfectly located just a stone’s throw from both New Southgate and Arnos Grove stations, offering fast and convenient access into Central London. Quick access to the A406/North Circular. Near local s...</t>
        </is>
      </c>
      <c r="J396" t="inlineStr">
        <is>
          <t>https://www.rightmove.co.uk/properties/167301434#/?channel=RES_LET</t>
        </is>
      </c>
      <c r="K396" t="inlineStr">
        <is>
          <t>/property-to-rent/contactBranch.html?propertyId=167301434</t>
        </is>
      </c>
      <c r="L396" t="inlineStr">
        <is>
          <t>Spencer &amp; Sener, Barnet</t>
        </is>
      </c>
      <c r="M396" t="n">
        <v>72792</v>
      </c>
      <c r="N396" t="inlineStr">
        <is>
          <t>Added on 23/09/2025</t>
        </is>
      </c>
      <c r="O396" t="inlineStr">
        <is>
          <t>2025-09-23T11:32:30Z</t>
        </is>
      </c>
      <c r="Q396" t="inlineStr">
        <is>
          <t>N11</t>
        </is>
      </c>
      <c r="R396" t="inlineStr">
        <is>
          <t>2025-10-16T17:42:36.455634</t>
        </is>
      </c>
      <c r="S396" t="inlineStr">
        <is>
          <t>{'let available date': 'Ask agent', 'deposit': '£2,010', 'min. tenancy': 'Ask agent', 'let type': 'Long term', 'furnish type': 'Unfurnished', 'council tax': 'Ask agent'}</t>
        </is>
      </c>
      <c r="T396" t="n">
        <v>840</v>
      </c>
      <c r="U396" t="n">
        <v>78</v>
      </c>
      <c r="V396" t="b">
        <v>1</v>
      </c>
      <c r="X396" t="n">
        <v>16.36</v>
      </c>
      <c r="Y396" t="n">
        <v>48.1</v>
      </c>
      <c r="Z396">
        <f>IF(AND(ISNUMBER(B396), ISNUMBER(MIN(B$2:B$486)), ISNUMBER(MAX(B$2:B$486))), IF(MAX(B$2:B$486)=MIN(B$2:B$486), 50, ROUND((MAX(B$2:B$486)-B396)/(MAX(B$2:B$486)-MIN(B$2:B$486))*100, 2)), "")</f>
        <v/>
      </c>
      <c r="AA396">
        <f>IF(AND(ISNUMBER(X396), ISNUMBER(MIN(X$2:X$486)), ISNUMBER(MAX(X$2:X$486))), IF(MAX(X$2:X$486)=MIN(X$2:X$486), 50, ROUND((MAX(X$2:X$486)-X396)/(MAX(X$2:X$486)-MIN(X$2:X$486))*100, 2)), "")</f>
        <v/>
      </c>
      <c r="AB396">
        <f>IF(AND(ISNUMBER(U396), ISNUMBER(MIN(U$2:U$486)), ISNUMBER(MAX(U$2:U$486))), IF(MAX(U$2:U$486)=MIN(U$2:U$486), 50, ROUND((U396-MIN(U$2:U$486))/(MAX(U$2:U$486)-MIN(U$2:U$486))*100, 2)), "")</f>
        <v/>
      </c>
      <c r="AC396">
        <f>IF(AND(ISNUMBER(Z396), ISNUMBER(AA396), ISNUMBER(AB396)), ROUND((Z396+AA396+AB396)/3, 2), "")</f>
        <v/>
      </c>
    </row>
    <row r="397">
      <c r="A397" t="n">
        <v>165730223</v>
      </c>
      <c r="B397" t="n">
        <v>1600</v>
      </c>
      <c r="C397" t="inlineStr">
        <is>
          <t>£1,600 pcm</t>
        </is>
      </c>
      <c r="D397" t="inlineStr">
        <is>
          <t>monthly</t>
        </is>
      </c>
      <c r="E397" t="inlineStr">
        <is>
          <t>Flat</t>
        </is>
      </c>
      <c r="F397" t="n">
        <v>2</v>
      </c>
      <c r="G397" t="n">
        <v>1</v>
      </c>
      <c r="H397" t="inlineStr">
        <is>
          <t>Myers Lane, London , SE14</t>
        </is>
      </c>
      <c r="I397" t="inlineStr">
        <is>
          <t>Contemporary first floor two bedroom apartment in modern development in New Cross Gate. The accommodation comprises of a spacious reception room, gleaming well fitted kitchen with lots of storage and work space, a master bedroom with fitted wardrobes, a good size second bedroom and bathroo...</t>
        </is>
      </c>
      <c r="J397" t="inlineStr">
        <is>
          <t>https://www.rightmove.co.uk/properties/165730223#/?channel=RES_LET</t>
        </is>
      </c>
      <c r="K397" t="inlineStr">
        <is>
          <t>/property-to-rent/contactBranch.html?propertyId=165730223</t>
        </is>
      </c>
      <c r="L397" t="inlineStr">
        <is>
          <t>Reside, New Cross</t>
        </is>
      </c>
      <c r="M397" t="n">
        <v>9349</v>
      </c>
      <c r="N397" t="inlineStr">
        <is>
          <t>Reduced on 23/09/2025</t>
        </is>
      </c>
      <c r="O397" t="inlineStr">
        <is>
          <t>2025-08-14T08:40:06Z</t>
        </is>
      </c>
      <c r="Q397" t="inlineStr">
        <is>
          <t>SE14</t>
        </is>
      </c>
      <c r="R397" t="inlineStr">
        <is>
          <t>2025-10-16T17:42:36.455637</t>
        </is>
      </c>
      <c r="S397" t="inlineStr">
        <is>
          <t>{'let available date': 'Now', 'deposit': '£1,845', 'min. tenancy': '12 months', 'let type': 'Long term', 'furnish type': 'Part furnished', 'council tax': 'Ask agent'}</t>
        </is>
      </c>
      <c r="V397" t="b">
        <v>1</v>
      </c>
      <c r="X397" t="n">
        <v>9.35</v>
      </c>
      <c r="Y397" t="n">
        <v>37.2</v>
      </c>
      <c r="Z397">
        <f>IF(AND(ISNUMBER(B397), ISNUMBER(MIN(B$2:B$486)), ISNUMBER(MAX(B$2:B$486))), IF(MAX(B$2:B$486)=MIN(B$2:B$486), 50, ROUND((MAX(B$2:B$486)-B397)/(MAX(B$2:B$486)-MIN(B$2:B$486))*100, 2)), "")</f>
        <v/>
      </c>
      <c r="AA397">
        <f>IF(AND(ISNUMBER(X397), ISNUMBER(MIN(X$2:X$486)), ISNUMBER(MAX(X$2:X$486))), IF(MAX(X$2:X$486)=MIN(X$2:X$486), 50, ROUND((MAX(X$2:X$486)-X397)/(MAX(X$2:X$486)-MIN(X$2:X$486))*100, 2)), "")</f>
        <v/>
      </c>
      <c r="AB397">
        <f>IF(AND(ISNUMBER(U397), ISNUMBER(MIN(U$2:U$486)), ISNUMBER(MAX(U$2:U$486))), IF(MAX(U$2:U$486)=MIN(U$2:U$486), 50, ROUND((U397-MIN(U$2:U$486))/(MAX(U$2:U$486)-MIN(U$2:U$486))*100, 2)), "")</f>
        <v/>
      </c>
      <c r="AC397">
        <f>IF(AND(ISNUMBER(Z397), ISNUMBER(AA397), ISNUMBER(AB397)), ROUND((Z397+AA397+AB397)/3, 2), "")</f>
        <v/>
      </c>
    </row>
    <row r="398">
      <c r="A398" t="n">
        <v>167283686</v>
      </c>
      <c r="B398" t="n">
        <v>1650</v>
      </c>
      <c r="C398" t="inlineStr">
        <is>
          <t>£1,650 pcm</t>
        </is>
      </c>
      <c r="D398" t="inlineStr">
        <is>
          <t>monthly</t>
        </is>
      </c>
      <c r="E398" t="inlineStr">
        <is>
          <t>Flat</t>
        </is>
      </c>
      <c r="F398" t="n">
        <v>2</v>
      </c>
      <c r="G398" t="n">
        <v>1</v>
      </c>
      <c r="H398" t="inlineStr">
        <is>
          <t>Kimberley Road , N18</t>
        </is>
      </c>
      <c r="I398" t="inlineStr">
        <is>
          <t>Two Six Estates are pleased to offer this recenty decorated ground floor flat located in Edmonton N18.The property comprises one spacious double bedroom, one single bedroom, a bright open-plan kitchen and reception room, and a modern family bathroom. It has been freshly redecorated throughout, wi...</t>
        </is>
      </c>
      <c r="J398" t="inlineStr">
        <is>
          <t>https://www.rightmove.co.uk/properties/167283686#/?channel=RES_LET</t>
        </is>
      </c>
      <c r="K398" t="inlineStr">
        <is>
          <t>/property-to-rent/contactBranch.html?propertyId=167283686</t>
        </is>
      </c>
      <c r="L398" t="inlineStr">
        <is>
          <t>Two Six Estates, North London</t>
        </is>
      </c>
      <c r="M398" t="n">
        <v>275567</v>
      </c>
      <c r="N398" t="inlineStr">
        <is>
          <t>Added on 22/09/2025</t>
        </is>
      </c>
      <c r="O398" t="inlineStr">
        <is>
          <t>2025-09-22T20:50:17Z</t>
        </is>
      </c>
      <c r="Q398" t="inlineStr">
        <is>
          <t>N18</t>
        </is>
      </c>
      <c r="R398" t="inlineStr">
        <is>
          <t>2025-10-16T17:42:36.455640</t>
        </is>
      </c>
      <c r="S398" t="inlineStr">
        <is>
          <t>{'let available date': 'Now', 'deposit': '£1,650', 'min. tenancy': 'Ask agent', 'let type': 'Long term', 'furnish type': 'Unfurnished', 'council tax': 'Ask agent'}</t>
        </is>
      </c>
      <c r="V398" t="b">
        <v>1</v>
      </c>
      <c r="X398" t="n">
        <v>15.52</v>
      </c>
      <c r="Y398" t="n">
        <v>52.8</v>
      </c>
      <c r="Z398">
        <f>IF(AND(ISNUMBER(B398), ISNUMBER(MIN(B$2:B$486)), ISNUMBER(MAX(B$2:B$486))), IF(MAX(B$2:B$486)=MIN(B$2:B$486), 50, ROUND((MAX(B$2:B$486)-B398)/(MAX(B$2:B$486)-MIN(B$2:B$486))*100, 2)), "")</f>
        <v/>
      </c>
      <c r="AA398">
        <f>IF(AND(ISNUMBER(X398), ISNUMBER(MIN(X$2:X$486)), ISNUMBER(MAX(X$2:X$486))), IF(MAX(X$2:X$486)=MIN(X$2:X$486), 50, ROUND((MAX(X$2:X$486)-X398)/(MAX(X$2:X$486)-MIN(X$2:X$486))*100, 2)), "")</f>
        <v/>
      </c>
      <c r="AB398">
        <f>IF(AND(ISNUMBER(U398), ISNUMBER(MIN(U$2:U$486)), ISNUMBER(MAX(U$2:U$486))), IF(MAX(U$2:U$486)=MIN(U$2:U$486), 50, ROUND((U398-MIN(U$2:U$486))/(MAX(U$2:U$486)-MIN(U$2:U$486))*100, 2)), "")</f>
        <v/>
      </c>
      <c r="AC398">
        <f>IF(AND(ISNUMBER(Z398), ISNUMBER(AA398), ISNUMBER(AB398)), ROUND((Z398+AA398+AB398)/3, 2), "")</f>
        <v/>
      </c>
    </row>
    <row r="399">
      <c r="A399" t="n">
        <v>166412135</v>
      </c>
      <c r="B399" t="n">
        <v>1650</v>
      </c>
      <c r="C399" t="inlineStr">
        <is>
          <t>£1,650 pcm</t>
        </is>
      </c>
      <c r="D399" t="inlineStr">
        <is>
          <t>monthly</t>
        </is>
      </c>
      <c r="E399" t="inlineStr">
        <is>
          <t>Flat</t>
        </is>
      </c>
      <c r="F399" t="n">
        <v>2</v>
      </c>
      <c r="G399" t="n">
        <v>1</v>
      </c>
      <c r="H399" t="inlineStr">
        <is>
          <t>8 Francis Court 3 Myers Lane, Off Mercury Road</t>
        </is>
      </c>
      <c r="I399" t="inlineStr">
        <is>
          <t>base rent: £1650, deposit: £1903.85, additional rent for pets: £25, number of bedrooms: 2, size: 538 sq ft, apartment type: apartment, pet restrictions, please enquire, floor: 3, heating type: electric, fully integrated kitchen, washer dryer, number of b…</t>
        </is>
      </c>
      <c r="J399" t="inlineStr">
        <is>
          <t>https://www.rightmove.co.uk/properties/166412135#/?channel=RES_LET</t>
        </is>
      </c>
      <c r="K399" t="inlineStr">
        <is>
          <t>/property-to-rent/contactBranch.html?propertyId=166412135</t>
        </is>
      </c>
      <c r="L399" t="inlineStr">
        <is>
          <t>Akelius Residential Ltd, London</t>
        </is>
      </c>
      <c r="M399" t="n">
        <v>102505</v>
      </c>
      <c r="N399" t="inlineStr">
        <is>
          <t>Reduced on 22/09/2025</t>
        </is>
      </c>
      <c r="O399" t="inlineStr">
        <is>
          <t>2025-08-31T20:26:48Z</t>
        </is>
      </c>
      <c r="R399" t="inlineStr">
        <is>
          <t>2025-10-16T17:42:36.455643</t>
        </is>
      </c>
      <c r="S399" t="inlineStr">
        <is>
          <t>{'let available date': 'Now', 'deposit': '£1,903', 'min. tenancy': 'Ask agent', 'let type': 'Long term', 'furnish type': 'Ask agent', 'council tax': 'Ask agent'}</t>
        </is>
      </c>
      <c r="T399" t="n">
        <v>538</v>
      </c>
      <c r="U399" t="n">
        <v>50</v>
      </c>
      <c r="V399" t="b">
        <v>1</v>
      </c>
      <c r="X399" t="n">
        <v>8.84</v>
      </c>
      <c r="Y399" t="n">
        <v>36.1</v>
      </c>
      <c r="Z399">
        <f>IF(AND(ISNUMBER(B399), ISNUMBER(MIN(B$2:B$486)), ISNUMBER(MAX(B$2:B$486))), IF(MAX(B$2:B$486)=MIN(B$2:B$486), 50, ROUND((MAX(B$2:B$486)-B399)/(MAX(B$2:B$486)-MIN(B$2:B$486))*100, 2)), "")</f>
        <v/>
      </c>
      <c r="AA399">
        <f>IF(AND(ISNUMBER(X399), ISNUMBER(MIN(X$2:X$486)), ISNUMBER(MAX(X$2:X$486))), IF(MAX(X$2:X$486)=MIN(X$2:X$486), 50, ROUND((MAX(X$2:X$486)-X399)/(MAX(X$2:X$486)-MIN(X$2:X$486))*100, 2)), "")</f>
        <v/>
      </c>
      <c r="AB399">
        <f>IF(AND(ISNUMBER(U399), ISNUMBER(MIN(U$2:U$486)), ISNUMBER(MAX(U$2:U$486))), IF(MAX(U$2:U$486)=MIN(U$2:U$486), 50, ROUND((U399-MIN(U$2:U$486))/(MAX(U$2:U$486)-MIN(U$2:U$486))*100, 2)), "")</f>
        <v/>
      </c>
      <c r="AC399">
        <f>IF(AND(ISNUMBER(Z399), ISNUMBER(AA399), ISNUMBER(AB399)), ROUND((Z399+AA399+AB399)/3, 2), "")</f>
        <v/>
      </c>
    </row>
    <row r="400">
      <c r="A400" t="n">
        <v>167280824</v>
      </c>
      <c r="B400" t="n">
        <v>1750</v>
      </c>
      <c r="C400" t="inlineStr">
        <is>
          <t>£1,750 pcm</t>
        </is>
      </c>
      <c r="D400" t="inlineStr">
        <is>
          <t>monthly</t>
        </is>
      </c>
      <c r="E400" t="inlineStr">
        <is>
          <t>Apartment</t>
        </is>
      </c>
      <c r="F400" t="n">
        <v>2</v>
      </c>
      <c r="G400" t="n">
        <v>2</v>
      </c>
      <c r="H400" t="inlineStr">
        <is>
          <t>Camborne Road, Sutton, Surrey, SM2</t>
        </is>
      </c>
      <c r="I400" t="inlineStr">
        <is>
          <t xml:space="preserve">A SPACIOUS TWO BEDROOM, TWO BATHROOM TOP FLOOR APARTMENT WITH A PRIVATE GARDEN AND ALLOCATED PARKING; Located within a short walk to Sutton Station BR and local amenities in around Sutton Town Centre. The surrounding area offers some great open greenspaces, restaurants and shopping centres. </t>
        </is>
      </c>
      <c r="J400" t="inlineStr">
        <is>
          <t>https://www.rightmove.co.uk/properties/167280824#/?channel=RES_LET</t>
        </is>
      </c>
      <c r="K400" t="inlineStr">
        <is>
          <t>/property-to-rent/contactBranch.html?propertyId=167280824</t>
        </is>
      </c>
      <c r="L400" t="inlineStr">
        <is>
          <t>Goodfellows, Cheam Village Lettings</t>
        </is>
      </c>
      <c r="M400" t="n">
        <v>72259</v>
      </c>
      <c r="N400" t="inlineStr">
        <is>
          <t>Added on 22/09/2025</t>
        </is>
      </c>
      <c r="O400" t="inlineStr">
        <is>
          <t>2025-09-22T17:50:57Z</t>
        </is>
      </c>
      <c r="Q400" t="inlineStr">
        <is>
          <t>SM2</t>
        </is>
      </c>
      <c r="R400" t="inlineStr">
        <is>
          <t>2025-10-16T17:42:36.455647</t>
        </is>
      </c>
      <c r="S400" t="inlineStr">
        <is>
          <t>{'let available date': '19/11/2025', 'deposit': '£2,019', 'min. tenancy': 'Ask agent', 'let type': 'Long term', 'furnish type': 'Unfurnished', 'council tax': 'Ask agent'}</t>
        </is>
      </c>
      <c r="V400" t="b">
        <v>1</v>
      </c>
      <c r="X400" t="n">
        <v>24.26</v>
      </c>
      <c r="Y400" t="n">
        <v>66.3</v>
      </c>
      <c r="Z400">
        <f>IF(AND(ISNUMBER(B400), ISNUMBER(MIN(B$2:B$486)), ISNUMBER(MAX(B$2:B$486))), IF(MAX(B$2:B$486)=MIN(B$2:B$486), 50, ROUND((MAX(B$2:B$486)-B400)/(MAX(B$2:B$486)-MIN(B$2:B$486))*100, 2)), "")</f>
        <v/>
      </c>
      <c r="AA400">
        <f>IF(AND(ISNUMBER(X400), ISNUMBER(MIN(X$2:X$486)), ISNUMBER(MAX(X$2:X$486))), IF(MAX(X$2:X$486)=MIN(X$2:X$486), 50, ROUND((MAX(X$2:X$486)-X400)/(MAX(X$2:X$486)-MIN(X$2:X$486))*100, 2)), "")</f>
        <v/>
      </c>
      <c r="AB400">
        <f>IF(AND(ISNUMBER(U400), ISNUMBER(MIN(U$2:U$486)), ISNUMBER(MAX(U$2:U$486))), IF(MAX(U$2:U$486)=MIN(U$2:U$486), 50, ROUND((U400-MIN(U$2:U$486))/(MAX(U$2:U$486)-MIN(U$2:U$486))*100, 2)), "")</f>
        <v/>
      </c>
      <c r="AC400">
        <f>IF(AND(ISNUMBER(Z400), ISNUMBER(AA400), ISNUMBER(AB400)), ROUND((Z400+AA400+AB400)/3, 2), "")</f>
        <v/>
      </c>
    </row>
    <row r="401">
      <c r="A401" t="n">
        <v>167485421</v>
      </c>
      <c r="B401" t="n">
        <v>1675</v>
      </c>
      <c r="C401" t="inlineStr">
        <is>
          <t>£1,675 pcm</t>
        </is>
      </c>
      <c r="D401" t="inlineStr">
        <is>
          <t>monthly</t>
        </is>
      </c>
      <c r="E401" t="inlineStr">
        <is>
          <t>Flat</t>
        </is>
      </c>
      <c r="F401" t="n">
        <v>2</v>
      </c>
      <c r="G401" t="n">
        <v>1</v>
      </c>
      <c r="H401" t="inlineStr">
        <is>
          <t>Runnymede, Colliers Wood/Merton Abbey</t>
        </is>
      </c>
      <c r="I401" t="inlineStr">
        <is>
          <t>First floor, 2 double bedroom maisonette in the very popular Merton Abbey location between South Wimbledon &amp; Colliers Wood. Private garden and unrestricted on road parking. Up to the first floor you'll find this property's private entrance. Through the hallway we find the modern kitchen to the le...</t>
        </is>
      </c>
      <c r="J401" t="inlineStr">
        <is>
          <t>https://www.rightmove.co.uk/properties/167485421#/?channel=RES_LET</t>
        </is>
      </c>
      <c r="K401" t="inlineStr">
        <is>
          <t>/property-to-rent/contactBranch.html?propertyId=167485421</t>
        </is>
      </c>
      <c r="L401" t="inlineStr">
        <is>
          <t>eddisonwhite, Merton - Sales &amp; Lettings</t>
        </is>
      </c>
      <c r="M401" t="n">
        <v>20183</v>
      </c>
      <c r="N401" t="inlineStr">
        <is>
          <t>Reduced on 22/09/2025</t>
        </is>
      </c>
      <c r="O401" t="inlineStr">
        <is>
          <t>2025-09-26T15:09:10Z</t>
        </is>
      </c>
      <c r="R401" t="inlineStr">
        <is>
          <t>2025-10-16T17:42:36.455650</t>
        </is>
      </c>
      <c r="S401" t="inlineStr">
        <is>
          <t>{'let available date': '28/10/2025', 'deposit': 'Ask agent', 'min. tenancy': 'Ask agent', 'let type': 'Long term', 'furnish type': 'Unfurnished', 'council tax': 'Ask agent'}</t>
        </is>
      </c>
      <c r="T401" t="n">
        <v>485</v>
      </c>
      <c r="U401" t="n">
        <v>45</v>
      </c>
      <c r="V401" t="b">
        <v>1</v>
      </c>
      <c r="X401" t="n">
        <v>13.5</v>
      </c>
      <c r="Y401" t="n">
        <v>53.3</v>
      </c>
      <c r="Z401">
        <f>IF(AND(ISNUMBER(B401), ISNUMBER(MIN(B$2:B$486)), ISNUMBER(MAX(B$2:B$486))), IF(MAX(B$2:B$486)=MIN(B$2:B$486), 50, ROUND((MAX(B$2:B$486)-B401)/(MAX(B$2:B$486)-MIN(B$2:B$486))*100, 2)), "")</f>
        <v/>
      </c>
      <c r="AA401">
        <f>IF(AND(ISNUMBER(X401), ISNUMBER(MIN(X$2:X$486)), ISNUMBER(MAX(X$2:X$486))), IF(MAX(X$2:X$486)=MIN(X$2:X$486), 50, ROUND((MAX(X$2:X$486)-X401)/(MAX(X$2:X$486)-MIN(X$2:X$486))*100, 2)), "")</f>
        <v/>
      </c>
      <c r="AB401">
        <f>IF(AND(ISNUMBER(U401), ISNUMBER(MIN(U$2:U$486)), ISNUMBER(MAX(U$2:U$486))), IF(MAX(U$2:U$486)=MIN(U$2:U$486), 50, ROUND((U401-MIN(U$2:U$486))/(MAX(U$2:U$486)-MIN(U$2:U$486))*100, 2)), "")</f>
        <v/>
      </c>
      <c r="AC401">
        <f>IF(AND(ISNUMBER(Z401), ISNUMBER(AA401), ISNUMBER(AB401)), ROUND((Z401+AA401+AB401)/3, 2), "")</f>
        <v/>
      </c>
    </row>
    <row r="402">
      <c r="A402" t="n">
        <v>167256749</v>
      </c>
      <c r="B402" t="n">
        <v>1600</v>
      </c>
      <c r="C402" t="inlineStr">
        <is>
          <t>£1,600 pcm</t>
        </is>
      </c>
      <c r="D402" t="inlineStr">
        <is>
          <t>monthly</t>
        </is>
      </c>
      <c r="E402" t="inlineStr">
        <is>
          <t>Flat</t>
        </is>
      </c>
      <c r="F402" t="n">
        <v>2</v>
      </c>
      <c r="G402" t="n">
        <v>1</v>
      </c>
      <c r="H402" t="inlineStr">
        <is>
          <t>Cowley Court, West Street, Leytonstone, London</t>
        </is>
      </c>
      <c r="I402" t="inlineStr">
        <is>
          <t>Located on the first floor of a well-maintained development, this spacious two-bedroom apartment offers comfortable and modern living in the heart of Leytonstone. The property boasts two generously sized double bedrooms, one of which leads directly off the bright and airy open-plan living area...</t>
        </is>
      </c>
      <c r="J402" t="inlineStr">
        <is>
          <t>https://www.rightmove.co.uk/properties/167256749#/?channel=RES_LET</t>
        </is>
      </c>
      <c r="K402" t="inlineStr">
        <is>
          <t>/property-to-rent/contactBranch.html?propertyId=167256749</t>
        </is>
      </c>
      <c r="L402" t="inlineStr">
        <is>
          <t>Century 21 Heritage, Newham</t>
        </is>
      </c>
      <c r="M402" t="n">
        <v>105398</v>
      </c>
      <c r="N402" t="inlineStr">
        <is>
          <t>Reduced on 22/09/2025</t>
        </is>
      </c>
      <c r="O402" t="inlineStr">
        <is>
          <t>2025-09-22T12:03:03Z</t>
        </is>
      </c>
      <c r="R402" t="inlineStr">
        <is>
          <t>2025-10-16T17:42:36.455653</t>
        </is>
      </c>
      <c r="S402" t="inlineStr">
        <is>
          <t>{'let available date': 'Ask agent', 'deposit': '£1,846', 'min. tenancy': 'Ask agent', 'let type': 'Long term', 'furnish type': 'Ask agent', 'council tax': 'Ask agent'}</t>
        </is>
      </c>
      <c r="V402" t="b">
        <v>1</v>
      </c>
      <c r="X402" t="n">
        <v>12.53</v>
      </c>
      <c r="Y402" t="n">
        <v>50.3</v>
      </c>
      <c r="Z402">
        <f>IF(AND(ISNUMBER(B402), ISNUMBER(MIN(B$2:B$486)), ISNUMBER(MAX(B$2:B$486))), IF(MAX(B$2:B$486)=MIN(B$2:B$486), 50, ROUND((MAX(B$2:B$486)-B402)/(MAX(B$2:B$486)-MIN(B$2:B$486))*100, 2)), "")</f>
        <v/>
      </c>
      <c r="AA402">
        <f>IF(AND(ISNUMBER(X402), ISNUMBER(MIN(X$2:X$486)), ISNUMBER(MAX(X$2:X$486))), IF(MAX(X$2:X$486)=MIN(X$2:X$486), 50, ROUND((MAX(X$2:X$486)-X402)/(MAX(X$2:X$486)-MIN(X$2:X$486))*100, 2)), "")</f>
        <v/>
      </c>
      <c r="AB402">
        <f>IF(AND(ISNUMBER(U402), ISNUMBER(MIN(U$2:U$486)), ISNUMBER(MAX(U$2:U$486))), IF(MAX(U$2:U$486)=MIN(U$2:U$486), 50, ROUND((U402-MIN(U$2:U$486))/(MAX(U$2:U$486)-MIN(U$2:U$486))*100, 2)), "")</f>
        <v/>
      </c>
      <c r="AC402">
        <f>IF(AND(ISNUMBER(Z402), ISNUMBER(AA402), ISNUMBER(AB402)), ROUND((Z402+AA402+AB402)/3, 2), "")</f>
        <v/>
      </c>
    </row>
    <row r="403">
      <c r="A403" t="n">
        <v>165285047</v>
      </c>
      <c r="B403" t="n">
        <v>1500</v>
      </c>
      <c r="C403" t="inlineStr">
        <is>
          <t>£1,500 pcm</t>
        </is>
      </c>
      <c r="D403" t="inlineStr">
        <is>
          <t>monthly</t>
        </is>
      </c>
      <c r="E403" t="inlineStr">
        <is>
          <t>Apartment</t>
        </is>
      </c>
      <c r="F403" t="n">
        <v>2</v>
      </c>
      <c r="G403" t="n">
        <v>1</v>
      </c>
      <c r="H403" t="inlineStr">
        <is>
          <t>Woodcote Road Wallington SM6</t>
        </is>
      </c>
      <c r="I403" t="inlineStr">
        <is>
          <t>Recently refurbished two bedroom flat within a stone's throw of Wallington Station.</t>
        </is>
      </c>
      <c r="J403" t="inlineStr">
        <is>
          <t>https://www.rightmove.co.uk/properties/165285047#/?channel=RES_LET</t>
        </is>
      </c>
      <c r="K403" t="inlineStr">
        <is>
          <t>/property-to-rent/contactBranch.html?propertyId=165285047</t>
        </is>
      </c>
      <c r="L403" t="inlineStr">
        <is>
          <t>Cubitt &amp; West Residential Lettings, Sutton</t>
        </is>
      </c>
      <c r="M403" t="n">
        <v>82928</v>
      </c>
      <c r="N403" t="inlineStr">
        <is>
          <t>Reduced on 22/09/2025</t>
        </is>
      </c>
      <c r="O403" t="inlineStr">
        <is>
          <t>2025-08-02T16:40:41Z</t>
        </is>
      </c>
      <c r="Q403" t="inlineStr">
        <is>
          <t>SM6</t>
        </is>
      </c>
      <c r="R403" t="inlineStr">
        <is>
          <t>2025-10-16T17:42:36.455657</t>
        </is>
      </c>
      <c r="S403" t="inlineStr">
        <is>
          <t>{'let available date': 'Now', 'deposit': '£1,731', 'min. tenancy': 'Ask agent', 'let type': 'Long term', 'furnish type': 'Unfurnished', 'council tax': 'Ask agent'}</t>
        </is>
      </c>
      <c r="V403" t="b">
        <v>1</v>
      </c>
      <c r="X403" t="n">
        <v>20.45</v>
      </c>
      <c r="Y403" t="n">
        <v>64.59999999999999</v>
      </c>
      <c r="Z403">
        <f>IF(AND(ISNUMBER(B403), ISNUMBER(MIN(B$2:B$486)), ISNUMBER(MAX(B$2:B$486))), IF(MAX(B$2:B$486)=MIN(B$2:B$486), 50, ROUND((MAX(B$2:B$486)-B403)/(MAX(B$2:B$486)-MIN(B$2:B$486))*100, 2)), "")</f>
        <v/>
      </c>
      <c r="AA403">
        <f>IF(AND(ISNUMBER(X403), ISNUMBER(MIN(X$2:X$486)), ISNUMBER(MAX(X$2:X$486))), IF(MAX(X$2:X$486)=MIN(X$2:X$486), 50, ROUND((MAX(X$2:X$486)-X403)/(MAX(X$2:X$486)-MIN(X$2:X$486))*100, 2)), "")</f>
        <v/>
      </c>
      <c r="AB403">
        <f>IF(AND(ISNUMBER(U403), ISNUMBER(MIN(U$2:U$486)), ISNUMBER(MAX(U$2:U$486))), IF(MAX(U$2:U$486)=MIN(U$2:U$486), 50, ROUND((U403-MIN(U$2:U$486))/(MAX(U$2:U$486)-MIN(U$2:U$486))*100, 2)), "")</f>
        <v/>
      </c>
      <c r="AC403">
        <f>IF(AND(ISNUMBER(Z403), ISNUMBER(AA403), ISNUMBER(AB403)), ROUND((Z403+AA403+AB403)/3, 2), "")</f>
        <v/>
      </c>
    </row>
    <row r="404">
      <c r="A404" t="n">
        <v>166228439</v>
      </c>
      <c r="B404" t="n">
        <v>1750</v>
      </c>
      <c r="C404" t="inlineStr">
        <is>
          <t>£1,750 pcm</t>
        </is>
      </c>
      <c r="D404" t="inlineStr">
        <is>
          <t>monthly</t>
        </is>
      </c>
      <c r="E404" t="inlineStr">
        <is>
          <t>Flat</t>
        </is>
      </c>
      <c r="F404" t="n">
        <v>2</v>
      </c>
      <c r="G404" t="n">
        <v>1</v>
      </c>
      <c r="H404" t="inlineStr">
        <is>
          <t>Cadogan Court, Sutton, SM2</t>
        </is>
      </c>
      <c r="I404" t="inlineStr">
        <is>
          <t>James Bailey is proud to present this split level maisonette situated in Sutton available from the 22nd September on an Unfurnished basis. The property is offered in good condition and on the first floor you have a large open plan reception room and fully fitted modern kitchen. The top floor has ...</t>
        </is>
      </c>
      <c r="J404" t="inlineStr">
        <is>
          <t>https://www.rightmove.co.uk/properties/166228439#/?channel=RES_LET</t>
        </is>
      </c>
      <c r="K404" t="inlineStr">
        <is>
          <t>/property-to-rent/contactBranch.html?propertyId=166228439</t>
        </is>
      </c>
      <c r="L404" t="inlineStr">
        <is>
          <t>James Bailey Sales &amp; Lettings, Cheam</t>
        </is>
      </c>
      <c r="M404" t="n">
        <v>237941</v>
      </c>
      <c r="N404" t="inlineStr">
        <is>
          <t>Reduced on 22/09/2025</t>
        </is>
      </c>
      <c r="O404" t="inlineStr">
        <is>
          <t>2025-08-26T15:54:45Z</t>
        </is>
      </c>
      <c r="Q404" t="inlineStr">
        <is>
          <t>SM2</t>
        </is>
      </c>
      <c r="R404" t="inlineStr">
        <is>
          <t>2025-10-16T17:42:36.455660</t>
        </is>
      </c>
      <c r="S404" t="inlineStr">
        <is>
          <t>{'let available date': 'Now', 'deposit': '£2,019', 'min. tenancy': '12 months', 'let type': 'Long term', 'furnish type': 'Unfurnished', 'council tax': 'Ask agent'}</t>
        </is>
      </c>
      <c r="T404" t="n">
        <v>743</v>
      </c>
      <c r="U404" t="n">
        <v>69</v>
      </c>
      <c r="V404" t="b">
        <v>1</v>
      </c>
      <c r="X404" t="n">
        <v>24.26</v>
      </c>
      <c r="Y404" t="n">
        <v>66.3</v>
      </c>
      <c r="Z404">
        <f>IF(AND(ISNUMBER(B404), ISNUMBER(MIN(B$2:B$486)), ISNUMBER(MAX(B$2:B$486))), IF(MAX(B$2:B$486)=MIN(B$2:B$486), 50, ROUND((MAX(B$2:B$486)-B404)/(MAX(B$2:B$486)-MIN(B$2:B$486))*100, 2)), "")</f>
        <v/>
      </c>
      <c r="AA404">
        <f>IF(AND(ISNUMBER(X404), ISNUMBER(MIN(X$2:X$486)), ISNUMBER(MAX(X$2:X$486))), IF(MAX(X$2:X$486)=MIN(X$2:X$486), 50, ROUND((MAX(X$2:X$486)-X404)/(MAX(X$2:X$486)-MIN(X$2:X$486))*100, 2)), "")</f>
        <v/>
      </c>
      <c r="AB404">
        <f>IF(AND(ISNUMBER(U404), ISNUMBER(MIN(U$2:U$486)), ISNUMBER(MAX(U$2:U$486))), IF(MAX(U$2:U$486)=MIN(U$2:U$486), 50, ROUND((U404-MIN(U$2:U$486))/(MAX(U$2:U$486)-MIN(U$2:U$486))*100, 2)), "")</f>
        <v/>
      </c>
      <c r="AC404">
        <f>IF(AND(ISNUMBER(Z404), ISNUMBER(AA404), ISNUMBER(AB404)), ROUND((Z404+AA404+AB404)/3, 2), "")</f>
        <v/>
      </c>
    </row>
    <row r="405">
      <c r="A405" t="n">
        <v>153592970</v>
      </c>
      <c r="B405" t="n">
        <v>1750</v>
      </c>
      <c r="C405" t="inlineStr">
        <is>
          <t>£1,750 pcm</t>
        </is>
      </c>
      <c r="D405" t="inlineStr">
        <is>
          <t>monthly</t>
        </is>
      </c>
      <c r="E405" t="inlineStr">
        <is>
          <t>Flat</t>
        </is>
      </c>
      <c r="F405" t="n">
        <v>2</v>
      </c>
      <c r="G405" t="n">
        <v>1</v>
      </c>
      <c r="H405" t="inlineStr">
        <is>
          <t>Broadfield Road, Catford, SE6</t>
        </is>
      </c>
      <c r="I405" t="inlineStr">
        <is>
          <t>Please Quote JH0395 For All Enquiries - Stunning two bedroom first floor period conversion (709 Sq.Ft) offering beautifully appointed accommodation with a wealth of character appeal, style and elegance.  Conveniently situated on the popular Corbett Estate, within a short distance of Hithe...</t>
        </is>
      </c>
      <c r="J405" t="inlineStr">
        <is>
          <t>https://www.rightmove.co.uk/properties/153592970#/?channel=RES_LET</t>
        </is>
      </c>
      <c r="K405" t="inlineStr">
        <is>
          <t>/property-to-rent/contactBranch.html?propertyId=153592970</t>
        </is>
      </c>
      <c r="L405" t="inlineStr">
        <is>
          <t>eXp UK, London</t>
        </is>
      </c>
      <c r="M405" t="n">
        <v>238265</v>
      </c>
      <c r="N405" t="inlineStr">
        <is>
          <t>Added on 22/09/2025</t>
        </is>
      </c>
      <c r="O405" t="inlineStr">
        <is>
          <t>2024-10-10T11:25:03Z</t>
        </is>
      </c>
      <c r="Q405" t="inlineStr">
        <is>
          <t>SE6</t>
        </is>
      </c>
      <c r="R405" t="inlineStr">
        <is>
          <t>2025-10-16T17:42:36.455663</t>
        </is>
      </c>
      <c r="S405" t="inlineStr">
        <is>
          <t>{'let available date': 'Ask agent', 'deposit': '£2,019', 'min. tenancy': 'Ask agent', 'let type': 'Long term', 'furnish type': 'Furnished or unfurnished, landlord is flexible', 'council tax': 'Ask agent'}</t>
        </is>
      </c>
      <c r="T405" t="n">
        <v>709</v>
      </c>
      <c r="U405" t="n">
        <v>66</v>
      </c>
      <c r="V405" t="b">
        <v>1</v>
      </c>
      <c r="X405" t="n">
        <v>14.74</v>
      </c>
      <c r="Y405" t="n">
        <v>50.4</v>
      </c>
      <c r="Z405">
        <f>IF(AND(ISNUMBER(B405), ISNUMBER(MIN(B$2:B$486)), ISNUMBER(MAX(B$2:B$486))), IF(MAX(B$2:B$486)=MIN(B$2:B$486), 50, ROUND((MAX(B$2:B$486)-B405)/(MAX(B$2:B$486)-MIN(B$2:B$486))*100, 2)), "")</f>
        <v/>
      </c>
      <c r="AA405">
        <f>IF(AND(ISNUMBER(X405), ISNUMBER(MIN(X$2:X$486)), ISNUMBER(MAX(X$2:X$486))), IF(MAX(X$2:X$486)=MIN(X$2:X$486), 50, ROUND((MAX(X$2:X$486)-X405)/(MAX(X$2:X$486)-MIN(X$2:X$486))*100, 2)), "")</f>
        <v/>
      </c>
      <c r="AB405">
        <f>IF(AND(ISNUMBER(U405), ISNUMBER(MIN(U$2:U$486)), ISNUMBER(MAX(U$2:U$486))), IF(MAX(U$2:U$486)=MIN(U$2:U$486), 50, ROUND((U405-MIN(U$2:U$486))/(MAX(U$2:U$486)-MIN(U$2:U$486))*100, 2)), "")</f>
        <v/>
      </c>
      <c r="AC405">
        <f>IF(AND(ISNUMBER(Z405), ISNUMBER(AA405), ISNUMBER(AB405)), ROUND((Z405+AA405+AB405)/3, 2), "")</f>
        <v/>
      </c>
    </row>
    <row r="406">
      <c r="A406" t="n">
        <v>167187521</v>
      </c>
      <c r="B406" t="n">
        <v>1750</v>
      </c>
      <c r="C406" t="inlineStr">
        <is>
          <t>£1,750 pcm</t>
        </is>
      </c>
      <c r="D406" t="inlineStr">
        <is>
          <t>monthly</t>
        </is>
      </c>
      <c r="E406" t="inlineStr">
        <is>
          <t>Flat</t>
        </is>
      </c>
      <c r="F406" t="n">
        <v>2</v>
      </c>
      <c r="H406" t="inlineStr">
        <is>
          <t>Friern Barnet Road, London, N11</t>
        </is>
      </c>
      <c r="I406" t="inlineStr">
        <is>
          <t xml:space="preserve">We are pleased to offer this well presented spacious second floor flat set in Friern Barnet - Available 1st November </t>
        </is>
      </c>
      <c r="J406" t="inlineStr">
        <is>
          <t>https://www.rightmove.co.uk/properties/167187521#/?channel=RES_LET</t>
        </is>
      </c>
      <c r="K406" t="inlineStr">
        <is>
          <t>/property-to-rent/contactBranch.html?propertyId=167187521</t>
        </is>
      </c>
      <c r="L406" t="inlineStr">
        <is>
          <t>Woodhouse Estates, Friern Barnet</t>
        </is>
      </c>
      <c r="M406" t="n">
        <v>77192</v>
      </c>
      <c r="N406" t="inlineStr">
        <is>
          <t>Added on 20/09/2025</t>
        </is>
      </c>
      <c r="O406" t="inlineStr">
        <is>
          <t>2025-09-20T17:18:19Z</t>
        </is>
      </c>
      <c r="Q406" t="inlineStr">
        <is>
          <t>N11</t>
        </is>
      </c>
      <c r="R406" t="inlineStr">
        <is>
          <t>2025-10-16T17:42:36.455666</t>
        </is>
      </c>
      <c r="S406" t="inlineStr">
        <is>
          <t>{'let available date': 'Ask agent', 'deposit': 'Ask agent', 'min. tenancy': 'Ask agent', 'let type': 'Long term', 'furnish type': 'Part furnished', 'council tax': 'Ask agent'}</t>
        </is>
      </c>
      <c r="V406" t="b">
        <v>1</v>
      </c>
      <c r="X406" t="n">
        <v>16.36</v>
      </c>
      <c r="Y406" t="n">
        <v>48.1</v>
      </c>
      <c r="Z406">
        <f>IF(AND(ISNUMBER(B406), ISNUMBER(MIN(B$2:B$486)), ISNUMBER(MAX(B$2:B$486))), IF(MAX(B$2:B$486)=MIN(B$2:B$486), 50, ROUND((MAX(B$2:B$486)-B406)/(MAX(B$2:B$486)-MIN(B$2:B$486))*100, 2)), "")</f>
        <v/>
      </c>
      <c r="AA406">
        <f>IF(AND(ISNUMBER(X406), ISNUMBER(MIN(X$2:X$486)), ISNUMBER(MAX(X$2:X$486))), IF(MAX(X$2:X$486)=MIN(X$2:X$486), 50, ROUND((MAX(X$2:X$486)-X406)/(MAX(X$2:X$486)-MIN(X$2:X$486))*100, 2)), "")</f>
        <v/>
      </c>
      <c r="AB406">
        <f>IF(AND(ISNUMBER(U406), ISNUMBER(MIN(U$2:U$486)), ISNUMBER(MAX(U$2:U$486))), IF(MAX(U$2:U$486)=MIN(U$2:U$486), 50, ROUND((U406-MIN(U$2:U$486))/(MAX(U$2:U$486)-MIN(U$2:U$486))*100, 2)), "")</f>
        <v/>
      </c>
      <c r="AC406">
        <f>IF(AND(ISNUMBER(Z406), ISNUMBER(AA406), ISNUMBER(AB406)), ROUND((Z406+AA406+AB406)/3, 2), "")</f>
        <v/>
      </c>
    </row>
    <row r="407">
      <c r="A407" t="n">
        <v>167596067</v>
      </c>
      <c r="B407" t="n">
        <v>1500</v>
      </c>
      <c r="C407" t="inlineStr">
        <is>
          <t>£1,500 pcm</t>
        </is>
      </c>
      <c r="D407" t="inlineStr">
        <is>
          <t>monthly</t>
        </is>
      </c>
      <c r="E407" t="inlineStr">
        <is>
          <t>Apartment</t>
        </is>
      </c>
      <c r="F407" t="n">
        <v>2</v>
      </c>
      <c r="G407" t="n">
        <v>1</v>
      </c>
      <c r="H407" t="inlineStr">
        <is>
          <t>Maple Road, Penge</t>
        </is>
      </c>
      <c r="I407" t="inlineStr">
        <is>
          <t>Charming first-floor apartment boasting 2 bedrooms. This unfurnished property modern kitchen, new carpets and double glazing windows. Ideal for professionals or sharers. Don't miss out on this fantastic opportunity!</t>
        </is>
      </c>
      <c r="J407" t="inlineStr">
        <is>
          <t>https://www.rightmove.co.uk/properties/167596067#/?channel=RES_LET</t>
        </is>
      </c>
      <c r="K407" t="inlineStr">
        <is>
          <t>/property-to-rent/contactBranch.html?propertyId=167596067</t>
        </is>
      </c>
      <c r="L407" t="inlineStr">
        <is>
          <t>Oaks Estate Agents, Streatham Lettings</t>
        </is>
      </c>
      <c r="M407" t="n">
        <v>201446</v>
      </c>
      <c r="N407" t="inlineStr">
        <is>
          <t>Added on 19/09/2025</t>
        </is>
      </c>
      <c r="O407" t="inlineStr">
        <is>
          <t>2025-09-30T10:42:02Z</t>
        </is>
      </c>
      <c r="R407" t="inlineStr">
        <is>
          <t>2025-10-16T17:42:36.455669</t>
        </is>
      </c>
      <c r="S407" t="inlineStr">
        <is>
          <t>{'let available date': 'Now', 'deposit': '£1,730', 'min. tenancy': 'Ask agent', 'let type': 'Long term', 'furnish type': 'Ask agent', 'council tax': 'Ask agent'}</t>
        </is>
      </c>
      <c r="V407" t="b">
        <v>1</v>
      </c>
      <c r="X407" t="n">
        <v>15.82</v>
      </c>
      <c r="Y407" t="n">
        <v>50</v>
      </c>
      <c r="Z407">
        <f>IF(AND(ISNUMBER(B407), ISNUMBER(MIN(B$2:B$486)), ISNUMBER(MAX(B$2:B$486))), IF(MAX(B$2:B$486)=MIN(B$2:B$486), 50, ROUND((MAX(B$2:B$486)-B407)/(MAX(B$2:B$486)-MIN(B$2:B$486))*100, 2)), "")</f>
        <v/>
      </c>
      <c r="AA407">
        <f>IF(AND(ISNUMBER(X407), ISNUMBER(MIN(X$2:X$486)), ISNUMBER(MAX(X$2:X$486))), IF(MAX(X$2:X$486)=MIN(X$2:X$486), 50, ROUND((MAX(X$2:X$486)-X407)/(MAX(X$2:X$486)-MIN(X$2:X$486))*100, 2)), "")</f>
        <v/>
      </c>
      <c r="AB407">
        <f>IF(AND(ISNUMBER(U407), ISNUMBER(MIN(U$2:U$486)), ISNUMBER(MAX(U$2:U$486))), IF(MAX(U$2:U$486)=MIN(U$2:U$486), 50, ROUND((U407-MIN(U$2:U$486))/(MAX(U$2:U$486)-MIN(U$2:U$486))*100, 2)), "")</f>
        <v/>
      </c>
      <c r="AC407">
        <f>IF(AND(ISNUMBER(Z407), ISNUMBER(AA407), ISNUMBER(AB407)), ROUND((Z407+AA407+AB407)/3, 2), "")</f>
        <v/>
      </c>
    </row>
    <row r="408">
      <c r="A408" t="n">
        <v>166896944</v>
      </c>
      <c r="B408" t="n">
        <v>1700</v>
      </c>
      <c r="C408" t="inlineStr">
        <is>
          <t>£1,700 pcm</t>
        </is>
      </c>
      <c r="D408" t="inlineStr">
        <is>
          <t>monthly</t>
        </is>
      </c>
      <c r="E408" t="inlineStr">
        <is>
          <t>Flat</t>
        </is>
      </c>
      <c r="F408" t="n">
        <v>2</v>
      </c>
      <c r="G408" t="n">
        <v>2</v>
      </c>
      <c r="H408" t="inlineStr">
        <is>
          <t>Western Road, Sutton, SM1</t>
        </is>
      </c>
      <c r="I408" t="inlineStr">
        <is>
          <t>ZERO DEPOSIT AVAILABLE. LONG LET. Set in a modern development, this contemporary 2 bedroom flat benefits from a large reception room with space to dine, modern kitchen, main bedroom with en-suite shower room and an allocated parking space.</t>
        </is>
      </c>
      <c r="J408" t="inlineStr">
        <is>
          <t>https://www.rightmove.co.uk/properties/166896944#/?channel=RES_LET</t>
        </is>
      </c>
      <c r="K408" t="inlineStr">
        <is>
          <t>/property-to-rent/contactBranch.html?propertyId=166896944</t>
        </is>
      </c>
      <c r="L408" t="inlineStr">
        <is>
          <t>Foxtons, New Malden</t>
        </is>
      </c>
      <c r="M408" t="n">
        <v>149153</v>
      </c>
      <c r="N408" t="inlineStr">
        <is>
          <t>Reduced on 19/09/2025</t>
        </is>
      </c>
      <c r="O408" t="inlineStr">
        <is>
          <t>2025-09-11T17:47:52Z</t>
        </is>
      </c>
      <c r="Q408" t="inlineStr">
        <is>
          <t>SM1</t>
        </is>
      </c>
      <c r="R408" t="inlineStr">
        <is>
          <t>2025-10-16T17:42:36.455672</t>
        </is>
      </c>
      <c r="S408" t="inlineStr">
        <is>
          <t>{'let available date': 'Ask agent', 'deposit': '£1,962', 'min. tenancy': 'Ask agent', 'let type': 'Long term', 'furnish type': 'Unfurnished', 'council tax': 'Ask agent'}</t>
        </is>
      </c>
      <c r="T408" t="n">
        <v>756</v>
      </c>
      <c r="U408" t="n">
        <v>70</v>
      </c>
      <c r="V408" t="b">
        <v>1</v>
      </c>
      <c r="X408" t="n">
        <v>20.15</v>
      </c>
      <c r="Y408" t="n">
        <v>60.7</v>
      </c>
      <c r="Z408">
        <f>IF(AND(ISNUMBER(B408), ISNUMBER(MIN(B$2:B$486)), ISNUMBER(MAX(B$2:B$486))), IF(MAX(B$2:B$486)=MIN(B$2:B$486), 50, ROUND((MAX(B$2:B$486)-B408)/(MAX(B$2:B$486)-MIN(B$2:B$486))*100, 2)), "")</f>
        <v/>
      </c>
      <c r="AA408">
        <f>IF(AND(ISNUMBER(X408), ISNUMBER(MIN(X$2:X$486)), ISNUMBER(MAX(X$2:X$486))), IF(MAX(X$2:X$486)=MIN(X$2:X$486), 50, ROUND((MAX(X$2:X$486)-X408)/(MAX(X$2:X$486)-MIN(X$2:X$486))*100, 2)), "")</f>
        <v/>
      </c>
      <c r="AB408">
        <f>IF(AND(ISNUMBER(U408), ISNUMBER(MIN(U$2:U$486)), ISNUMBER(MAX(U$2:U$486))), IF(MAX(U$2:U$486)=MIN(U$2:U$486), 50, ROUND((U408-MIN(U$2:U$486))/(MAX(U$2:U$486)-MIN(U$2:U$486))*100, 2)), "")</f>
        <v/>
      </c>
      <c r="AC408">
        <f>IF(AND(ISNUMBER(Z408), ISNUMBER(AA408), ISNUMBER(AB408)), ROUND((Z408+AA408+AB408)/3, 2), "")</f>
        <v/>
      </c>
    </row>
    <row r="409">
      <c r="A409" t="n">
        <v>167190557</v>
      </c>
      <c r="B409" t="n">
        <v>1700</v>
      </c>
      <c r="C409" t="inlineStr">
        <is>
          <t>£1,700 pcm</t>
        </is>
      </c>
      <c r="D409" t="inlineStr">
        <is>
          <t>monthly</t>
        </is>
      </c>
      <c r="E409" t="inlineStr">
        <is>
          <t>Apartment</t>
        </is>
      </c>
      <c r="F409" t="n">
        <v>2</v>
      </c>
      <c r="G409" t="n">
        <v>1</v>
      </c>
      <c r="H409" t="inlineStr">
        <is>
          <t>322 Sutton Common Road, Sutton, Surrey, SM3</t>
        </is>
      </c>
      <c r="I409" t="inlineStr">
        <is>
          <t>This beautifully presented two double bedroom apartment is perfectly positioned in a sought-after location, close to a range of local amenities and excellent transport links. Just moments from local bus routes offering direct access to Sutton, Morden, and Sutton Common train station, this home is...</t>
        </is>
      </c>
      <c r="J409" t="inlineStr">
        <is>
          <t>https://www.rightmove.co.uk/properties/167190557#/?channel=RES_LET</t>
        </is>
      </c>
      <c r="K409" t="inlineStr">
        <is>
          <t>/property-to-rent/contactBranch.html?propertyId=167190557</t>
        </is>
      </c>
      <c r="L409" t="inlineStr">
        <is>
          <t>Goodfellows, Morden - Lettings</t>
        </is>
      </c>
      <c r="M409" t="n">
        <v>8972</v>
      </c>
      <c r="N409" t="inlineStr">
        <is>
          <t>Added on 19/09/2025</t>
        </is>
      </c>
      <c r="O409" t="inlineStr">
        <is>
          <t>2025-09-19T12:51:15Z</t>
        </is>
      </c>
      <c r="Q409" t="inlineStr">
        <is>
          <t>SM3</t>
        </is>
      </c>
      <c r="R409" t="inlineStr">
        <is>
          <t>2025-10-16T17:42:36.455675</t>
        </is>
      </c>
      <c r="S409" t="inlineStr">
        <is>
          <t>{'let available date': '24/11/2025', 'deposit': '£0', 'min. tenancy': 'Ask agent', 'let type': 'Long term', 'furnish type': 'Unfurnished', 'council tax': 'Ask agent'}</t>
        </is>
      </c>
      <c r="V409" t="b">
        <v>1</v>
      </c>
      <c r="X409" t="n">
        <v>20.89</v>
      </c>
      <c r="Y409" t="n">
        <v>63.8</v>
      </c>
      <c r="Z409">
        <f>IF(AND(ISNUMBER(B409), ISNUMBER(MIN(B$2:B$486)), ISNUMBER(MAX(B$2:B$486))), IF(MAX(B$2:B$486)=MIN(B$2:B$486), 50, ROUND((MAX(B$2:B$486)-B409)/(MAX(B$2:B$486)-MIN(B$2:B$486))*100, 2)), "")</f>
        <v/>
      </c>
      <c r="AA409">
        <f>IF(AND(ISNUMBER(X409), ISNUMBER(MIN(X$2:X$486)), ISNUMBER(MAX(X$2:X$486))), IF(MAX(X$2:X$486)=MIN(X$2:X$486), 50, ROUND((MAX(X$2:X$486)-X409)/(MAX(X$2:X$486)-MIN(X$2:X$486))*100, 2)), "")</f>
        <v/>
      </c>
      <c r="AB409">
        <f>IF(AND(ISNUMBER(U409), ISNUMBER(MIN(U$2:U$486)), ISNUMBER(MAX(U$2:U$486))), IF(MAX(U$2:U$486)=MIN(U$2:U$486), 50, ROUND((U409-MIN(U$2:U$486))/(MAX(U$2:U$486)-MIN(U$2:U$486))*100, 2)), "")</f>
        <v/>
      </c>
      <c r="AC409">
        <f>IF(AND(ISNUMBER(Z409), ISNUMBER(AA409), ISNUMBER(AB409)), ROUND((Z409+AA409+AB409)/3, 2), "")</f>
        <v/>
      </c>
    </row>
    <row r="410">
      <c r="A410" t="n">
        <v>168203990</v>
      </c>
      <c r="B410" t="n">
        <v>1700</v>
      </c>
      <c r="C410" t="inlineStr">
        <is>
          <t>£1,700 pcm</t>
        </is>
      </c>
      <c r="D410" t="inlineStr">
        <is>
          <t>monthly</t>
        </is>
      </c>
      <c r="E410" t="inlineStr">
        <is>
          <t>Flat</t>
        </is>
      </c>
      <c r="F410" t="n">
        <v>2</v>
      </c>
      <c r="G410" t="n">
        <v>1</v>
      </c>
      <c r="H410" t="inlineStr">
        <is>
          <t>Sandrock Road, Lewisham, SE13</t>
        </is>
      </c>
      <c r="I410" t="inlineStr">
        <is>
          <t>** Zero Deposit Guarantee Available **
TWO DOUBLE BEDROOM, PRIVATE REAR GARDEN, RECENTLY DECORATED, FAMILY BATHROOM, PERMIT PARKING</t>
        </is>
      </c>
      <c r="J410" t="inlineStr">
        <is>
          <t>https://www.rightmove.co.uk/properties/168203990#/?channel=RES_LET</t>
        </is>
      </c>
      <c r="K410" t="inlineStr">
        <is>
          <t>/property-to-rent/contactBranch.html?propertyId=168203990</t>
        </is>
      </c>
      <c r="L410" t="inlineStr">
        <is>
          <t>Mann Lettings, Catford</t>
        </is>
      </c>
      <c r="M410" t="n">
        <v>89483</v>
      </c>
      <c r="N410" t="inlineStr">
        <is>
          <t>Added on 19/09/2025</t>
        </is>
      </c>
      <c r="O410" t="inlineStr">
        <is>
          <t>2025-10-15T13:53:43Z</t>
        </is>
      </c>
      <c r="Q410" t="inlineStr">
        <is>
          <t>SE13</t>
        </is>
      </c>
      <c r="R410" t="inlineStr">
        <is>
          <t>2025-10-16T17:42:37.855907</t>
        </is>
      </c>
      <c r="S410" t="inlineStr">
        <is>
          <t>{'let available date': '23/10/2025', 'deposit': '£1,960', 'min. tenancy': 'Ask agent', 'let type': 'Long term', 'furnish type': 'Unfurnished', 'council tax': 'Ask agent'}</t>
        </is>
      </c>
      <c r="V410" t="b">
        <v>1</v>
      </c>
      <c r="X410" t="n">
        <v>12.97</v>
      </c>
      <c r="Y410" t="n">
        <v>49.7</v>
      </c>
      <c r="Z410">
        <f>IF(AND(ISNUMBER(B410), ISNUMBER(MIN(B$2:B$486)), ISNUMBER(MAX(B$2:B$486))), IF(MAX(B$2:B$486)=MIN(B$2:B$486), 50, ROUND((MAX(B$2:B$486)-B410)/(MAX(B$2:B$486)-MIN(B$2:B$486))*100, 2)), "")</f>
        <v/>
      </c>
      <c r="AA410">
        <f>IF(AND(ISNUMBER(X410), ISNUMBER(MIN(X$2:X$486)), ISNUMBER(MAX(X$2:X$486))), IF(MAX(X$2:X$486)=MIN(X$2:X$486), 50, ROUND((MAX(X$2:X$486)-X410)/(MAX(X$2:X$486)-MIN(X$2:X$486))*100, 2)), "")</f>
        <v/>
      </c>
      <c r="AB410">
        <f>IF(AND(ISNUMBER(U410), ISNUMBER(MIN(U$2:U$486)), ISNUMBER(MAX(U$2:U$486))), IF(MAX(U$2:U$486)=MIN(U$2:U$486), 50, ROUND((U410-MIN(U$2:U$486))/(MAX(U$2:U$486)-MIN(U$2:U$486))*100, 2)), "")</f>
        <v/>
      </c>
      <c r="AC410">
        <f>IF(AND(ISNUMBER(Z410), ISNUMBER(AA410), ISNUMBER(AB410)), ROUND((Z410+AA410+AB410)/3, 2), "")</f>
        <v/>
      </c>
    </row>
    <row r="411">
      <c r="A411" t="n">
        <v>167179988</v>
      </c>
      <c r="B411" t="n">
        <v>1750</v>
      </c>
      <c r="C411" t="inlineStr">
        <is>
          <t>£1,750 pcm</t>
        </is>
      </c>
      <c r="D411" t="inlineStr">
        <is>
          <t>monthly</t>
        </is>
      </c>
      <c r="E411" t="inlineStr">
        <is>
          <t>Flat</t>
        </is>
      </c>
      <c r="F411" t="n">
        <v>2</v>
      </c>
      <c r="G411" t="n">
        <v>1</v>
      </c>
      <c r="H411" t="inlineStr">
        <is>
          <t>Linksview Court, Hampton Hill</t>
        </is>
      </c>
      <c r="I411" t="inlineStr">
        <is>
          <t>Close to Hampton Hill High Street is this fantastic maisonette finished to the highest standard, there are two large double bedrooms with built in wardrobes, a modern bathroom, a living room / dining area and an eat in kitchen. Further benefits include a garden with storage and back access.</t>
        </is>
      </c>
      <c r="J411" t="inlineStr">
        <is>
          <t>https://www.rightmove.co.uk/properties/167179988#/?channel=RES_LET</t>
        </is>
      </c>
      <c r="K411" t="inlineStr">
        <is>
          <t>/property-to-rent/contactBranch.html?propertyId=167179988</t>
        </is>
      </c>
      <c r="L411" t="inlineStr">
        <is>
          <t>Snellers, Hampton</t>
        </is>
      </c>
      <c r="M411" t="n">
        <v>84836</v>
      </c>
      <c r="N411" t="inlineStr">
        <is>
          <t>Added on 19/09/2025</t>
        </is>
      </c>
      <c r="O411" t="inlineStr">
        <is>
          <t>2025-09-19T10:21:46Z</t>
        </is>
      </c>
      <c r="R411" t="inlineStr">
        <is>
          <t>2025-10-16T17:42:37.855914</t>
        </is>
      </c>
      <c r="S411" t="inlineStr">
        <is>
          <t>{'let available date': 'Ask agent', 'deposit': '£2,019', 'min. tenancy': 'Ask agent', 'let type': 'Long term', 'furnish type': 'Unfurnished', 'council tax': 'Ask agent'}</t>
        </is>
      </c>
      <c r="V411" t="b">
        <v>1</v>
      </c>
      <c r="X411" t="n">
        <v>21.64</v>
      </c>
      <c r="Y411" t="n">
        <v>60.2</v>
      </c>
      <c r="Z411">
        <f>IF(AND(ISNUMBER(B411), ISNUMBER(MIN(B$2:B$486)), ISNUMBER(MAX(B$2:B$486))), IF(MAX(B$2:B$486)=MIN(B$2:B$486), 50, ROUND((MAX(B$2:B$486)-B411)/(MAX(B$2:B$486)-MIN(B$2:B$486))*100, 2)), "")</f>
        <v/>
      </c>
      <c r="AA411">
        <f>IF(AND(ISNUMBER(X411), ISNUMBER(MIN(X$2:X$486)), ISNUMBER(MAX(X$2:X$486))), IF(MAX(X$2:X$486)=MIN(X$2:X$486), 50, ROUND((MAX(X$2:X$486)-X411)/(MAX(X$2:X$486)-MIN(X$2:X$486))*100, 2)), "")</f>
        <v/>
      </c>
      <c r="AB411">
        <f>IF(AND(ISNUMBER(U411), ISNUMBER(MIN(U$2:U$486)), ISNUMBER(MAX(U$2:U$486))), IF(MAX(U$2:U$486)=MIN(U$2:U$486), 50, ROUND((U411-MIN(U$2:U$486))/(MAX(U$2:U$486)-MIN(U$2:U$486))*100, 2)), "")</f>
        <v/>
      </c>
      <c r="AC411">
        <f>IF(AND(ISNUMBER(Z411), ISNUMBER(AA411), ISNUMBER(AB411)), ROUND((Z411+AA411+AB411)/3, 2), "")</f>
        <v/>
      </c>
    </row>
    <row r="412">
      <c r="A412" t="n">
        <v>167178098</v>
      </c>
      <c r="B412" t="n">
        <v>1750</v>
      </c>
      <c r="C412" t="inlineStr">
        <is>
          <t>£1,750 pcm</t>
        </is>
      </c>
      <c r="D412" t="inlineStr">
        <is>
          <t>monthly</t>
        </is>
      </c>
      <c r="E412" t="inlineStr">
        <is>
          <t>Apartment</t>
        </is>
      </c>
      <c r="F412" t="n">
        <v>2</v>
      </c>
      <c r="G412" t="n">
        <v>2</v>
      </c>
      <c r="H412" t="inlineStr">
        <is>
          <t>Fishguard Way, E16</t>
        </is>
      </c>
      <c r="I412" t="inlineStr">
        <is>
          <t>Available to move into October is this well presented raised ground floor two bedroom two bathroom property being offered fully furnished. The property benefits from allocated underground parking, balcony with river Thames Views, two double bedrooms, double glazed, electric heaters. &amp;#...</t>
        </is>
      </c>
      <c r="J412" t="inlineStr">
        <is>
          <t>https://www.rightmove.co.uk/properties/167178098#/?channel=RES_LET</t>
        </is>
      </c>
      <c r="K412" t="inlineStr">
        <is>
          <t>/property-to-rent/contactBranch.html?propertyId=167178098</t>
        </is>
      </c>
      <c r="L412" t="inlineStr">
        <is>
          <t>Spencer James Residential, London</t>
        </is>
      </c>
      <c r="M412" t="n">
        <v>283697</v>
      </c>
      <c r="N412" t="inlineStr">
        <is>
          <t>Added on 19/09/2025</t>
        </is>
      </c>
      <c r="O412" t="inlineStr">
        <is>
          <t>2025-09-19T09:53:28Z</t>
        </is>
      </c>
      <c r="Q412" t="inlineStr">
        <is>
          <t>E16</t>
        </is>
      </c>
      <c r="R412" t="inlineStr">
        <is>
          <t>2025-10-16T17:42:37.855917</t>
        </is>
      </c>
      <c r="S412" t="inlineStr">
        <is>
          <t>{'let available date': 'Now', 'deposit': 'Ask agent', 'min. tenancy': '12 months', 'let type': 'Long term', 'furnish type': 'Furnished', 'council tax': 'Ask agent'}</t>
        </is>
      </c>
      <c r="V412" t="b">
        <v>1</v>
      </c>
      <c r="X412" t="n">
        <v>13.78</v>
      </c>
      <c r="Y412" t="n">
        <v>40.4</v>
      </c>
      <c r="Z412">
        <f>IF(AND(ISNUMBER(B412), ISNUMBER(MIN(B$2:B$486)), ISNUMBER(MAX(B$2:B$486))), IF(MAX(B$2:B$486)=MIN(B$2:B$486), 50, ROUND((MAX(B$2:B$486)-B412)/(MAX(B$2:B$486)-MIN(B$2:B$486))*100, 2)), "")</f>
        <v/>
      </c>
      <c r="AA412">
        <f>IF(AND(ISNUMBER(X412), ISNUMBER(MIN(X$2:X$486)), ISNUMBER(MAX(X$2:X$486))), IF(MAX(X$2:X$486)=MIN(X$2:X$486), 50, ROUND((MAX(X$2:X$486)-X412)/(MAX(X$2:X$486)-MIN(X$2:X$486))*100, 2)), "")</f>
        <v/>
      </c>
      <c r="AB412">
        <f>IF(AND(ISNUMBER(U412), ISNUMBER(MIN(U$2:U$486)), ISNUMBER(MAX(U$2:U$486))), IF(MAX(U$2:U$486)=MIN(U$2:U$486), 50, ROUND((U412-MIN(U$2:U$486))/(MAX(U$2:U$486)-MIN(U$2:U$486))*100, 2)), "")</f>
        <v/>
      </c>
      <c r="AC412">
        <f>IF(AND(ISNUMBER(Z412), ISNUMBER(AA412), ISNUMBER(AB412)), ROUND((Z412+AA412+AB412)/3, 2), "")</f>
        <v/>
      </c>
    </row>
    <row r="413">
      <c r="A413" t="n">
        <v>167177579</v>
      </c>
      <c r="B413" t="n">
        <v>1575</v>
      </c>
      <c r="C413" t="inlineStr">
        <is>
          <t>£1,575 pcm</t>
        </is>
      </c>
      <c r="D413" t="inlineStr">
        <is>
          <t>monthly</t>
        </is>
      </c>
      <c r="E413" t="inlineStr">
        <is>
          <t>Maisonette</t>
        </is>
      </c>
      <c r="F413" t="n">
        <v>2</v>
      </c>
      <c r="G413" t="n">
        <v>1</v>
      </c>
      <c r="H413" t="inlineStr">
        <is>
          <t>Bute Gardens West, WALLINGTON</t>
        </is>
      </c>
      <c r="I413" t="inlineStr">
        <is>
          <t>A TWO DOUBLE BEDROOM GROUND FLOOR MAISONETTE WITH PRIVATE REAR GARDEN IN THE HEART OF WALLINGTON - AVAILABLE OCTOBER</t>
        </is>
      </c>
      <c r="J413" t="inlineStr">
        <is>
          <t>https://www.rightmove.co.uk/properties/167177579#/?channel=RES_LET</t>
        </is>
      </c>
      <c r="K413" t="inlineStr">
        <is>
          <t>/property-to-rent/contactBranch.html?propertyId=167177579</t>
        </is>
      </c>
      <c r="L413" t="inlineStr">
        <is>
          <t>Barnard Marcus Lettings, Wallington - Lettings</t>
        </is>
      </c>
      <c r="M413" t="n">
        <v>135566</v>
      </c>
      <c r="N413" t="inlineStr">
        <is>
          <t>Added on 19/09/2025</t>
        </is>
      </c>
      <c r="O413" t="inlineStr">
        <is>
          <t>2025-09-19T09:45:17Z</t>
        </is>
      </c>
      <c r="R413" t="inlineStr">
        <is>
          <t>2025-10-16T17:42:37.855922</t>
        </is>
      </c>
      <c r="S413" t="inlineStr">
        <is>
          <t>{'let available date': '07/11/2025', 'deposit': '£1,725', 'min. tenancy': '12 months', 'let type': 'Long term', 'furnish type': 'Unfurnished', 'council tax': 'Ask agent'}</t>
        </is>
      </c>
      <c r="V413" t="b">
        <v>1</v>
      </c>
      <c r="X413" t="n">
        <v>20.79</v>
      </c>
      <c r="Y413" t="n">
        <v>65.59999999999999</v>
      </c>
      <c r="Z413">
        <f>IF(AND(ISNUMBER(B413), ISNUMBER(MIN(B$2:B$486)), ISNUMBER(MAX(B$2:B$486))), IF(MAX(B$2:B$486)=MIN(B$2:B$486), 50, ROUND((MAX(B$2:B$486)-B413)/(MAX(B$2:B$486)-MIN(B$2:B$486))*100, 2)), "")</f>
        <v/>
      </c>
      <c r="AA413">
        <f>IF(AND(ISNUMBER(X413), ISNUMBER(MIN(X$2:X$486)), ISNUMBER(MAX(X$2:X$486))), IF(MAX(X$2:X$486)=MIN(X$2:X$486), 50, ROUND((MAX(X$2:X$486)-X413)/(MAX(X$2:X$486)-MIN(X$2:X$486))*100, 2)), "")</f>
        <v/>
      </c>
      <c r="AB413">
        <f>IF(AND(ISNUMBER(U413), ISNUMBER(MIN(U$2:U$486)), ISNUMBER(MAX(U$2:U$486))), IF(MAX(U$2:U$486)=MIN(U$2:U$486), 50, ROUND((U413-MIN(U$2:U$486))/(MAX(U$2:U$486)-MIN(U$2:U$486))*100, 2)), "")</f>
        <v/>
      </c>
      <c r="AC413">
        <f>IF(AND(ISNUMBER(Z413), ISNUMBER(AA413), ISNUMBER(AB413)), ROUND((Z413+AA413+AB413)/3, 2), "")</f>
        <v/>
      </c>
    </row>
    <row r="414">
      <c r="A414" t="n">
        <v>167164136</v>
      </c>
      <c r="B414" t="n">
        <v>1700</v>
      </c>
      <c r="C414" t="inlineStr">
        <is>
          <t>£1,700 pcm</t>
        </is>
      </c>
      <c r="D414" t="inlineStr">
        <is>
          <t>monthly</t>
        </is>
      </c>
      <c r="E414" t="inlineStr">
        <is>
          <t>Flat</t>
        </is>
      </c>
      <c r="F414" t="n">
        <v>2</v>
      </c>
      <c r="G414" t="n">
        <v>2</v>
      </c>
      <c r="H414" t="inlineStr">
        <is>
          <t>Kirkland Drive, Enfield, EN2</t>
        </is>
      </c>
      <c r="I414" t="inlineStr">
        <is>
          <t>Applicant Requirements: We are searching for tenant(s) with a minimum household income of £51,000+pa - Baker and Chase are delighted to offer this well presented 2 double bedroom 2-bathroom flat, on the ground floor of this popular purpose built block on Kirkland Drive ...</t>
        </is>
      </c>
      <c r="J414" t="inlineStr">
        <is>
          <t>https://www.rightmove.co.uk/properties/167164136#/?channel=RES_LET</t>
        </is>
      </c>
      <c r="K414" t="inlineStr">
        <is>
          <t>/property-to-rent/contactBranch.html?propertyId=167164136</t>
        </is>
      </c>
      <c r="L414" t="inlineStr">
        <is>
          <t>Baker and Chase, London Borough of Enfield</t>
        </is>
      </c>
      <c r="M414" t="n">
        <v>109898</v>
      </c>
      <c r="N414" t="inlineStr">
        <is>
          <t>Added on 18/09/2025</t>
        </is>
      </c>
      <c r="O414" t="inlineStr">
        <is>
          <t>2025-09-18T17:27:31Z</t>
        </is>
      </c>
      <c r="Q414" t="inlineStr">
        <is>
          <t>EN2</t>
        </is>
      </c>
      <c r="R414" t="inlineStr">
        <is>
          <t>2025-10-16T17:42:37.855925</t>
        </is>
      </c>
      <c r="S414" t="inlineStr">
        <is>
          <t>{'let available date': '18/10/2025', 'deposit': '£1,961', 'min. tenancy': 'Ask agent', 'let type': 'Long term', 'furnish type': 'Part furnished', 'council tax': 'Ask agent'}</t>
        </is>
      </c>
      <c r="T414" t="n">
        <v>750</v>
      </c>
      <c r="U414" t="n">
        <v>70</v>
      </c>
      <c r="V414" t="b">
        <v>1</v>
      </c>
      <c r="X414" t="n">
        <v>23.71</v>
      </c>
      <c r="Y414" t="n">
        <v>62</v>
      </c>
      <c r="Z414">
        <f>IF(AND(ISNUMBER(B414), ISNUMBER(MIN(B$2:B$486)), ISNUMBER(MAX(B$2:B$486))), IF(MAX(B$2:B$486)=MIN(B$2:B$486), 50, ROUND((MAX(B$2:B$486)-B414)/(MAX(B$2:B$486)-MIN(B$2:B$486))*100, 2)), "")</f>
        <v/>
      </c>
      <c r="AA414">
        <f>IF(AND(ISNUMBER(X414), ISNUMBER(MIN(X$2:X$486)), ISNUMBER(MAX(X$2:X$486))), IF(MAX(X$2:X$486)=MIN(X$2:X$486), 50, ROUND((MAX(X$2:X$486)-X414)/(MAX(X$2:X$486)-MIN(X$2:X$486))*100, 2)), "")</f>
        <v/>
      </c>
      <c r="AB414">
        <f>IF(AND(ISNUMBER(U414), ISNUMBER(MIN(U$2:U$486)), ISNUMBER(MAX(U$2:U$486))), IF(MAX(U$2:U$486)=MIN(U$2:U$486), 50, ROUND((U414-MIN(U$2:U$486))/(MAX(U$2:U$486)-MIN(U$2:U$486))*100, 2)), "")</f>
        <v/>
      </c>
      <c r="AC414">
        <f>IF(AND(ISNUMBER(Z414), ISNUMBER(AA414), ISNUMBER(AB414)), ROUND((Z414+AA414+AB414)/3, 2), "")</f>
        <v/>
      </c>
    </row>
    <row r="415">
      <c r="A415" t="n">
        <v>167146397</v>
      </c>
      <c r="B415" t="n">
        <v>1600</v>
      </c>
      <c r="C415" t="inlineStr">
        <is>
          <t>£1,600 pcm</t>
        </is>
      </c>
      <c r="D415" t="inlineStr">
        <is>
          <t>monthly</t>
        </is>
      </c>
      <c r="E415" t="inlineStr">
        <is>
          <t>Flat</t>
        </is>
      </c>
      <c r="F415" t="n">
        <v>2</v>
      </c>
      <c r="G415" t="n">
        <v>2</v>
      </c>
      <c r="H415" t="inlineStr">
        <is>
          <t>London Road, Norbury</t>
        </is>
      </c>
      <c r="I415" t="inlineStr">
        <is>
          <t>A two double bedroom, two bathroom modern apartment which benefits from an allocated parking space, concierge service, on-site gym and communal roof terrace.</t>
        </is>
      </c>
      <c r="J415" t="inlineStr">
        <is>
          <t>https://www.rightmove.co.uk/properties/167146397#/?channel=RES_LET</t>
        </is>
      </c>
      <c r="K415" t="inlineStr">
        <is>
          <t>/property-to-rent/contactBranch.html?propertyId=167146397</t>
        </is>
      </c>
      <c r="L415" t="inlineStr">
        <is>
          <t>Jacksons Estate Agents, Streatham</t>
        </is>
      </c>
      <c r="M415" t="n">
        <v>52415</v>
      </c>
      <c r="N415" t="inlineStr">
        <is>
          <t>Added on 18/09/2025</t>
        </is>
      </c>
      <c r="O415" t="inlineStr">
        <is>
          <t>2025-09-18T13:28:09Z</t>
        </is>
      </c>
      <c r="R415" t="inlineStr">
        <is>
          <t>2025-10-16T17:42:37.855928</t>
        </is>
      </c>
      <c r="S415" t="inlineStr">
        <is>
          <t>{'let available date': 'Ask agent', 'deposit': '£1,846', 'min. tenancy': 'Ask agent', 'let type': 'Long term', 'furnish type': 'Part furnished', 'council tax': 'Ask agent'}</t>
        </is>
      </c>
      <c r="V415" t="b">
        <v>1</v>
      </c>
      <c r="X415" t="n">
        <v>14.05</v>
      </c>
      <c r="Y415" t="n">
        <v>49.5</v>
      </c>
      <c r="Z415">
        <f>IF(AND(ISNUMBER(B415), ISNUMBER(MIN(B$2:B$486)), ISNUMBER(MAX(B$2:B$486))), IF(MAX(B$2:B$486)=MIN(B$2:B$486), 50, ROUND((MAX(B$2:B$486)-B415)/(MAX(B$2:B$486)-MIN(B$2:B$486))*100, 2)), "")</f>
        <v/>
      </c>
      <c r="AA415">
        <f>IF(AND(ISNUMBER(X415), ISNUMBER(MIN(X$2:X$486)), ISNUMBER(MAX(X$2:X$486))), IF(MAX(X$2:X$486)=MIN(X$2:X$486), 50, ROUND((MAX(X$2:X$486)-X415)/(MAX(X$2:X$486)-MIN(X$2:X$486))*100, 2)), "")</f>
        <v/>
      </c>
      <c r="AB415">
        <f>IF(AND(ISNUMBER(U415), ISNUMBER(MIN(U$2:U$486)), ISNUMBER(MAX(U$2:U$486))), IF(MAX(U$2:U$486)=MIN(U$2:U$486), 50, ROUND((U415-MIN(U$2:U$486))/(MAX(U$2:U$486)-MIN(U$2:U$486))*100, 2)), "")</f>
        <v/>
      </c>
      <c r="AC415">
        <f>IF(AND(ISNUMBER(Z415), ISNUMBER(AA415), ISNUMBER(AB415)), ROUND((Z415+AA415+AB415)/3, 2), "")</f>
        <v/>
      </c>
    </row>
    <row r="416">
      <c r="A416" t="n">
        <v>167434382</v>
      </c>
      <c r="B416" t="n">
        <v>1710</v>
      </c>
      <c r="C416" t="inlineStr">
        <is>
          <t>£1,710 pcm</t>
        </is>
      </c>
      <c r="D416" t="inlineStr">
        <is>
          <t>monthly</t>
        </is>
      </c>
      <c r="E416" t="inlineStr">
        <is>
          <t>Apartment</t>
        </is>
      </c>
      <c r="F416" t="n">
        <v>2</v>
      </c>
      <c r="G416" t="n">
        <v>1</v>
      </c>
      <c r="H416" t="inlineStr">
        <is>
          <t>Bedford Close, London, N10</t>
        </is>
      </c>
      <c r="I416" t="inlineStr">
        <is>
          <t>Well-presented 2 bedroom ground floor flat, located on Bedford Close, N10. Set in a quiet residential cul-de-sac, the property offers comfortable living with bright and practical interiors. Key Features- Two bedrooms- Ground floor flat- Spacious reception room- Separate kitchen- Bathroom with bat...</t>
        </is>
      </c>
      <c r="J416" t="inlineStr">
        <is>
          <t>https://www.rightmove.co.uk/properties/167434382#/?channel=RES_LET</t>
        </is>
      </c>
      <c r="K416" t="inlineStr">
        <is>
          <t>/property-to-rent/contactBranch.html?propertyId=167434382</t>
        </is>
      </c>
      <c r="L416" t="inlineStr">
        <is>
          <t>Hello Neighbour, London</t>
        </is>
      </c>
      <c r="M416" t="n">
        <v>221711</v>
      </c>
      <c r="N416" t="inlineStr">
        <is>
          <t>Reduced on 18/09/2025</t>
        </is>
      </c>
      <c r="O416" t="inlineStr">
        <is>
          <t>2025-09-25T16:38:33Z</t>
        </is>
      </c>
      <c r="Q416" t="inlineStr">
        <is>
          <t>N10</t>
        </is>
      </c>
      <c r="R416" t="inlineStr">
        <is>
          <t>2025-10-16T17:42:37.855931</t>
        </is>
      </c>
      <c r="S416" t="inlineStr">
        <is>
          <t>{'let available date': 'Now', 'deposit': '£1,973', 'min. tenancy': '12 months', 'let type': 'Long term', 'furnish type': 'Furnished or unfurnished, landlord is flexible', 'council tax': 'Ask agent'}</t>
        </is>
      </c>
      <c r="T416" t="n">
        <v>603</v>
      </c>
      <c r="U416" t="n">
        <v>56</v>
      </c>
      <c r="V416" t="b">
        <v>1</v>
      </c>
      <c r="X416" t="n">
        <v>11.21</v>
      </c>
      <c r="Y416" t="n">
        <v>42.9</v>
      </c>
      <c r="Z416">
        <f>IF(AND(ISNUMBER(B416), ISNUMBER(MIN(B$2:B$486)), ISNUMBER(MAX(B$2:B$486))), IF(MAX(B$2:B$486)=MIN(B$2:B$486), 50, ROUND((MAX(B$2:B$486)-B416)/(MAX(B$2:B$486)-MIN(B$2:B$486))*100, 2)), "")</f>
        <v/>
      </c>
      <c r="AA416">
        <f>IF(AND(ISNUMBER(X416), ISNUMBER(MIN(X$2:X$486)), ISNUMBER(MAX(X$2:X$486))), IF(MAX(X$2:X$486)=MIN(X$2:X$486), 50, ROUND((MAX(X$2:X$486)-X416)/(MAX(X$2:X$486)-MIN(X$2:X$486))*100, 2)), "")</f>
        <v/>
      </c>
      <c r="AB416">
        <f>IF(AND(ISNUMBER(U416), ISNUMBER(MIN(U$2:U$486)), ISNUMBER(MAX(U$2:U$486))), IF(MAX(U$2:U$486)=MIN(U$2:U$486), 50, ROUND((U416-MIN(U$2:U$486))/(MAX(U$2:U$486)-MIN(U$2:U$486))*100, 2)), "")</f>
        <v/>
      </c>
      <c r="AC416">
        <f>IF(AND(ISNUMBER(Z416), ISNUMBER(AA416), ISNUMBER(AB416)), ROUND((Z416+AA416+AB416)/3, 2), "")</f>
        <v/>
      </c>
    </row>
    <row r="417">
      <c r="A417" t="n">
        <v>167141345</v>
      </c>
      <c r="B417" t="n">
        <v>1750</v>
      </c>
      <c r="C417" t="inlineStr">
        <is>
          <t>£1,750 pcm</t>
        </is>
      </c>
      <c r="D417" t="inlineStr">
        <is>
          <t>monthly</t>
        </is>
      </c>
      <c r="E417" t="inlineStr">
        <is>
          <t>Apartment</t>
        </is>
      </c>
      <c r="F417" t="n">
        <v>2</v>
      </c>
      <c r="G417" t="n">
        <v>1</v>
      </c>
      <c r="H417" t="inlineStr">
        <is>
          <t>Adams Way, Croydon, CR0</t>
        </is>
      </c>
      <c r="I417" t="inlineStr">
        <is>
          <t xml:space="preserve">Streets Ahead present this delightful 2 bedroom property offers a perfect blend of modern convenience and classic charm, all in a quiet residential development. Enquire to view and secure. </t>
        </is>
      </c>
      <c r="J417" t="inlineStr">
        <is>
          <t>https://www.rightmove.co.uk/properties/167141345#/?channel=RES_LET</t>
        </is>
      </c>
      <c r="K417" t="inlineStr">
        <is>
          <t>/property-to-rent/contactBranch.html?propertyId=167141345</t>
        </is>
      </c>
      <c r="L417" t="inlineStr">
        <is>
          <t>Streets Ahead, Croydon - Lettings</t>
        </is>
      </c>
      <c r="M417" t="n">
        <v>6870</v>
      </c>
      <c r="N417" t="inlineStr">
        <is>
          <t>Added on 18/09/2025</t>
        </is>
      </c>
      <c r="O417" t="inlineStr">
        <is>
          <t>2025-09-18T12:19:30Z</t>
        </is>
      </c>
      <c r="Q417" t="inlineStr">
        <is>
          <t>CR0</t>
        </is>
      </c>
      <c r="R417" t="inlineStr">
        <is>
          <t>2025-10-16T17:42:37.855934</t>
        </is>
      </c>
      <c r="S417" t="inlineStr">
        <is>
          <t>{'let available date': 'Now', 'deposit': '£2,019', 'min. tenancy': 'Ask agent', 'let type': 'Long term', 'furnish type': 'Part furnished', 'council tax': 'Ask agent'}</t>
        </is>
      </c>
      <c r="V417" t="b">
        <v>1</v>
      </c>
      <c r="X417" t="n">
        <v>21.98</v>
      </c>
      <c r="Y417" t="n">
        <v>61.8</v>
      </c>
      <c r="Z417">
        <f>IF(AND(ISNUMBER(B417), ISNUMBER(MIN(B$2:B$486)), ISNUMBER(MAX(B$2:B$486))), IF(MAX(B$2:B$486)=MIN(B$2:B$486), 50, ROUND((MAX(B$2:B$486)-B417)/(MAX(B$2:B$486)-MIN(B$2:B$486))*100, 2)), "")</f>
        <v/>
      </c>
      <c r="AA417">
        <f>IF(AND(ISNUMBER(X417), ISNUMBER(MIN(X$2:X$486)), ISNUMBER(MAX(X$2:X$486))), IF(MAX(X$2:X$486)=MIN(X$2:X$486), 50, ROUND((MAX(X$2:X$486)-X417)/(MAX(X$2:X$486)-MIN(X$2:X$486))*100, 2)), "")</f>
        <v/>
      </c>
      <c r="AB417">
        <f>IF(AND(ISNUMBER(U417), ISNUMBER(MIN(U$2:U$486)), ISNUMBER(MAX(U$2:U$486))), IF(MAX(U$2:U$486)=MIN(U$2:U$486), 50, ROUND((U417-MIN(U$2:U$486))/(MAX(U$2:U$486)-MIN(U$2:U$486))*100, 2)), "")</f>
        <v/>
      </c>
      <c r="AC417">
        <f>IF(AND(ISNUMBER(Z417), ISNUMBER(AA417), ISNUMBER(AB417)), ROUND((Z417+AA417+AB417)/3, 2), "")</f>
        <v/>
      </c>
    </row>
    <row r="418">
      <c r="A418" t="n">
        <v>166439696</v>
      </c>
      <c r="B418" t="n">
        <v>1700</v>
      </c>
      <c r="C418" t="inlineStr">
        <is>
          <t>£1,700 pcm</t>
        </is>
      </c>
      <c r="D418" t="inlineStr">
        <is>
          <t>monthly</t>
        </is>
      </c>
      <c r="E418" t="inlineStr">
        <is>
          <t>Flat</t>
        </is>
      </c>
      <c r="F418" t="n">
        <v>2</v>
      </c>
      <c r="G418" t="n">
        <v>1</v>
      </c>
      <c r="H418" t="inlineStr">
        <is>
          <t>Stanthorpe Road, Streatham</t>
        </is>
      </c>
      <c r="I418" t="inlineStr">
        <is>
          <t>A well presented first floor two bedroom period conversion flat with a good sized reception room, an open plan kitchen and a modern bathroom.</t>
        </is>
      </c>
      <c r="J418" t="inlineStr">
        <is>
          <t>https://www.rightmove.co.uk/properties/166439696#/?channel=RES_LET</t>
        </is>
      </c>
      <c r="K418" t="inlineStr">
        <is>
          <t>/property-to-rent/contactBranch.html?propertyId=166439696</t>
        </is>
      </c>
      <c r="L418" t="inlineStr">
        <is>
          <t>Jacksons Estate Agents, Streatham</t>
        </is>
      </c>
      <c r="M418" t="n">
        <v>52415</v>
      </c>
      <c r="N418" t="inlineStr">
        <is>
          <t>Reduced on 18/09/2025</t>
        </is>
      </c>
      <c r="O418" t="inlineStr">
        <is>
          <t>2025-09-01T13:27:26Z</t>
        </is>
      </c>
      <c r="R418" t="inlineStr">
        <is>
          <t>2025-10-16T17:42:37.855938</t>
        </is>
      </c>
      <c r="S418" t="inlineStr">
        <is>
          <t>{'let available date': 'Ask agent', 'deposit': '£1,961', 'min. tenancy': 'Ask agent', 'let type': 'Long term', 'furnish type': 'Ask agent', 'council tax': 'Ask agent'}</t>
        </is>
      </c>
      <c r="V418" t="b">
        <v>1</v>
      </c>
      <c r="X418" t="n">
        <v>11.24</v>
      </c>
      <c r="Y418" t="n">
        <v>41.2</v>
      </c>
      <c r="Z418">
        <f>IF(AND(ISNUMBER(B418), ISNUMBER(MIN(B$2:B$486)), ISNUMBER(MAX(B$2:B$486))), IF(MAX(B$2:B$486)=MIN(B$2:B$486), 50, ROUND((MAX(B$2:B$486)-B418)/(MAX(B$2:B$486)-MIN(B$2:B$486))*100, 2)), "")</f>
        <v/>
      </c>
      <c r="AA418">
        <f>IF(AND(ISNUMBER(X418), ISNUMBER(MIN(X$2:X$486)), ISNUMBER(MAX(X$2:X$486))), IF(MAX(X$2:X$486)=MIN(X$2:X$486), 50, ROUND((MAX(X$2:X$486)-X418)/(MAX(X$2:X$486)-MIN(X$2:X$486))*100, 2)), "")</f>
        <v/>
      </c>
      <c r="AB418">
        <f>IF(AND(ISNUMBER(U418), ISNUMBER(MIN(U$2:U$486)), ISNUMBER(MAX(U$2:U$486))), IF(MAX(U$2:U$486)=MIN(U$2:U$486), 50, ROUND((U418-MIN(U$2:U$486))/(MAX(U$2:U$486)-MIN(U$2:U$486))*100, 2)), "")</f>
        <v/>
      </c>
      <c r="AC418">
        <f>IF(AND(ISNUMBER(Z418), ISNUMBER(AA418), ISNUMBER(AB418)), ROUND((Z418+AA418+AB418)/3, 2), "")</f>
        <v/>
      </c>
    </row>
    <row r="419">
      <c r="A419" t="n">
        <v>167116814</v>
      </c>
      <c r="B419" t="n">
        <v>1550</v>
      </c>
      <c r="C419" t="inlineStr">
        <is>
          <t>£1,550 pcm</t>
        </is>
      </c>
      <c r="D419" t="inlineStr">
        <is>
          <t>monthly</t>
        </is>
      </c>
      <c r="E419" t="inlineStr">
        <is>
          <t>Flat</t>
        </is>
      </c>
      <c r="F419" t="n">
        <v>2</v>
      </c>
      <c r="G419" t="n">
        <v>1</v>
      </c>
      <c r="H419" t="inlineStr">
        <is>
          <t>Wynash Gardens, Carshalton, SM5</t>
        </is>
      </c>
      <c r="I419" t="inlineStr">
        <is>
          <t>Newly Refurbished | Ground Floor | Spacious 2 Bedroom Flat | Large Living Room | Separate Kitchen | 2 Double Bedrooms | Off Street Parking Included | Unfurnished | Available Immediately</t>
        </is>
      </c>
      <c r="J419" t="inlineStr">
        <is>
          <t>https://www.rightmove.co.uk/properties/167116814#/?channel=RES_LET</t>
        </is>
      </c>
      <c r="K419" t="inlineStr">
        <is>
          <t>/property-to-rent/contactBranch.html?propertyId=167116814</t>
        </is>
      </c>
      <c r="L419" t="inlineStr">
        <is>
          <t>Milegate, London</t>
        </is>
      </c>
      <c r="M419" t="n">
        <v>123322</v>
      </c>
      <c r="N419" t="inlineStr">
        <is>
          <t>Added on 17/09/2025</t>
        </is>
      </c>
      <c r="O419" t="inlineStr">
        <is>
          <t>2025-09-17T17:56:20Z</t>
        </is>
      </c>
      <c r="Q419" t="inlineStr">
        <is>
          <t>SM5</t>
        </is>
      </c>
      <c r="R419" t="inlineStr">
        <is>
          <t>2025-10-16T17:42:37.855942</t>
        </is>
      </c>
      <c r="S419" t="inlineStr">
        <is>
          <t>{'let available date': 'Ask agent', 'deposit': '£1,788', 'min. tenancy': 'Ask agent', 'let type': 'Long term', 'furnish type': 'Furnished or unfurnished, landlord is flexible', 'council tax': 'Ask agent'}</t>
        </is>
      </c>
      <c r="V419" t="b">
        <v>1</v>
      </c>
      <c r="X419" t="n">
        <v>21.04</v>
      </c>
      <c r="Y419" t="n">
        <v>65.59999999999999</v>
      </c>
      <c r="Z419">
        <f>IF(AND(ISNUMBER(B419), ISNUMBER(MIN(B$2:B$486)), ISNUMBER(MAX(B$2:B$486))), IF(MAX(B$2:B$486)=MIN(B$2:B$486), 50, ROUND((MAX(B$2:B$486)-B419)/(MAX(B$2:B$486)-MIN(B$2:B$486))*100, 2)), "")</f>
        <v/>
      </c>
      <c r="AA419">
        <f>IF(AND(ISNUMBER(X419), ISNUMBER(MIN(X$2:X$486)), ISNUMBER(MAX(X$2:X$486))), IF(MAX(X$2:X$486)=MIN(X$2:X$486), 50, ROUND((MAX(X$2:X$486)-X419)/(MAX(X$2:X$486)-MIN(X$2:X$486))*100, 2)), "")</f>
        <v/>
      </c>
      <c r="AB419">
        <f>IF(AND(ISNUMBER(U419), ISNUMBER(MIN(U$2:U$486)), ISNUMBER(MAX(U$2:U$486))), IF(MAX(U$2:U$486)=MIN(U$2:U$486), 50, ROUND((U419-MIN(U$2:U$486))/(MAX(U$2:U$486)-MIN(U$2:U$486))*100, 2)), "")</f>
        <v/>
      </c>
      <c r="AC419">
        <f>IF(AND(ISNUMBER(Z419), ISNUMBER(AA419), ISNUMBER(AB419)), ROUND((Z419+AA419+AB419)/3, 2), "")</f>
        <v/>
      </c>
    </row>
    <row r="420">
      <c r="A420" t="n">
        <v>168231035</v>
      </c>
      <c r="B420" t="n">
        <v>1750</v>
      </c>
      <c r="C420" t="inlineStr">
        <is>
          <t>£1,750 pcm</t>
        </is>
      </c>
      <c r="D420" t="inlineStr">
        <is>
          <t>monthly</t>
        </is>
      </c>
      <c r="E420" t="inlineStr">
        <is>
          <t>Flat</t>
        </is>
      </c>
      <c r="F420" t="n">
        <v>2</v>
      </c>
      <c r="G420" t="n">
        <v>1</v>
      </c>
      <c r="H420" t="inlineStr">
        <is>
          <t>Southwark Park Road, London, SE16</t>
        </is>
      </c>
      <c r="I420" t="inlineStr">
        <is>
          <t>Very nice 2 bedroom flat on the 1st floor, within 5 minutes walk to South Bermondsey Tube station, Jubilee Line. 2 bedrooms, fully fitted kitchen, tiled bathroom, separate living room. Available from 29/10</t>
        </is>
      </c>
      <c r="J420" t="inlineStr">
        <is>
          <t>https://www.rightmove.co.uk/properties/168231035#/?channel=RES_LET</t>
        </is>
      </c>
      <c r="K420" t="inlineStr">
        <is>
          <t>/property-to-rent/contactBranch.html?propertyId=168231035</t>
        </is>
      </c>
      <c r="L420" t="inlineStr">
        <is>
          <t>Live London Estates, Golders Green</t>
        </is>
      </c>
      <c r="M420" t="n">
        <v>141884</v>
      </c>
      <c r="N420" t="inlineStr">
        <is>
          <t>Reduced on 17/09/2025</t>
        </is>
      </c>
      <c r="O420" t="inlineStr">
        <is>
          <t>2025-10-15T23:37:13Z</t>
        </is>
      </c>
      <c r="Q420" t="inlineStr">
        <is>
          <t>SE16</t>
        </is>
      </c>
      <c r="R420" t="inlineStr">
        <is>
          <t>2025-10-16T17:42:37.855945</t>
        </is>
      </c>
      <c r="S420" t="inlineStr">
        <is>
          <t>{'let available date': '29/10/2025', 'deposit': '£1,750', 'min. tenancy': 'Ask agent', 'let type': 'Long term', 'furnish type': 'Furnished', 'council tax': 'Ask agent'}</t>
        </is>
      </c>
      <c r="T420" t="n">
        <v>527</v>
      </c>
      <c r="U420" t="n">
        <v>49</v>
      </c>
      <c r="V420" t="b">
        <v>1</v>
      </c>
      <c r="X420" t="n">
        <v>7.74</v>
      </c>
      <c r="Y420" t="n">
        <v>36</v>
      </c>
      <c r="Z420">
        <f>IF(AND(ISNUMBER(B420), ISNUMBER(MIN(B$2:B$486)), ISNUMBER(MAX(B$2:B$486))), IF(MAX(B$2:B$486)=MIN(B$2:B$486), 50, ROUND((MAX(B$2:B$486)-B420)/(MAX(B$2:B$486)-MIN(B$2:B$486))*100, 2)), "")</f>
        <v/>
      </c>
      <c r="AA420">
        <f>IF(AND(ISNUMBER(X420), ISNUMBER(MIN(X$2:X$486)), ISNUMBER(MAX(X$2:X$486))), IF(MAX(X$2:X$486)=MIN(X$2:X$486), 50, ROUND((MAX(X$2:X$486)-X420)/(MAX(X$2:X$486)-MIN(X$2:X$486))*100, 2)), "")</f>
        <v/>
      </c>
      <c r="AB420">
        <f>IF(AND(ISNUMBER(U420), ISNUMBER(MIN(U$2:U$486)), ISNUMBER(MAX(U$2:U$486))), IF(MAX(U$2:U$486)=MIN(U$2:U$486), 50, ROUND((U420-MIN(U$2:U$486))/(MAX(U$2:U$486)-MIN(U$2:U$486))*100, 2)), "")</f>
        <v/>
      </c>
      <c r="AC420">
        <f>IF(AND(ISNUMBER(Z420), ISNUMBER(AA420), ISNUMBER(AB420)), ROUND((Z420+AA420+AB420)/3, 2), "")</f>
        <v/>
      </c>
    </row>
    <row r="421">
      <c r="A421" t="n">
        <v>167067554</v>
      </c>
      <c r="B421" t="n">
        <v>380</v>
      </c>
      <c r="C421" t="inlineStr">
        <is>
          <t>£1,647 pcm</t>
        </is>
      </c>
      <c r="D421" t="inlineStr">
        <is>
          <t>weekly</t>
        </is>
      </c>
      <c r="E421" t="inlineStr">
        <is>
          <t>Flat</t>
        </is>
      </c>
      <c r="F421" t="n">
        <v>2</v>
      </c>
      <c r="G421" t="n">
        <v>1</v>
      </c>
      <c r="H421" t="inlineStr">
        <is>
          <t xml:space="preserve">Bank Chambers, Hornsey N8 </t>
        </is>
      </c>
      <c r="I421" t="inlineStr">
        <is>
          <t>Great 2 bedroom on the second floor of a beautiful converted Bank. Finished to a high standard the property offers a large living space, 1 double bedroom with built in wardrobes, the kitchen is modern with fitted appliance, the property also offers a modern tiled shower room ...</t>
        </is>
      </c>
      <c r="J421" t="inlineStr">
        <is>
          <t>https://www.rightmove.co.uk/properties/167067554#/?channel=RES_LET</t>
        </is>
      </c>
      <c r="K421" t="inlineStr">
        <is>
          <t>/property-to-rent/contactBranch.html?propertyId=167067554</t>
        </is>
      </c>
      <c r="L421" t="inlineStr">
        <is>
          <t>Black Katz, Islington</t>
        </is>
      </c>
      <c r="M421" t="n">
        <v>17882</v>
      </c>
      <c r="N421" t="inlineStr">
        <is>
          <t>Added on 16/09/2025</t>
        </is>
      </c>
      <c r="O421" t="inlineStr">
        <is>
          <t>2025-09-16T17:40:03Z</t>
        </is>
      </c>
      <c r="Q421" t="inlineStr">
        <is>
          <t>N8</t>
        </is>
      </c>
      <c r="R421" t="inlineStr">
        <is>
          <t>2025-10-16T17:42:37.855948</t>
        </is>
      </c>
      <c r="S421" t="inlineStr">
        <is>
          <t>{'let available date': 'Now', 'deposit': '£1,900', 'min. tenancy': 'Ask agent', 'let type': 'Long term', 'furnish type': 'Furnished', 'council tax': 'Ask agent'}</t>
        </is>
      </c>
      <c r="V421" t="b">
        <v>1</v>
      </c>
      <c r="X421" t="n">
        <v>9.91</v>
      </c>
      <c r="Y421" t="n">
        <v>37</v>
      </c>
      <c r="Z421">
        <f>IF(AND(ISNUMBER(B421), ISNUMBER(MIN(B$2:B$486)), ISNUMBER(MAX(B$2:B$486))), IF(MAX(B$2:B$486)=MIN(B$2:B$486), 50, ROUND((MAX(B$2:B$486)-B421)/(MAX(B$2:B$486)-MIN(B$2:B$486))*100, 2)), "")</f>
        <v/>
      </c>
      <c r="AA421">
        <f>IF(AND(ISNUMBER(X421), ISNUMBER(MIN(X$2:X$486)), ISNUMBER(MAX(X$2:X$486))), IF(MAX(X$2:X$486)=MIN(X$2:X$486), 50, ROUND((MAX(X$2:X$486)-X421)/(MAX(X$2:X$486)-MIN(X$2:X$486))*100, 2)), "")</f>
        <v/>
      </c>
      <c r="AB421">
        <f>IF(AND(ISNUMBER(U421), ISNUMBER(MIN(U$2:U$486)), ISNUMBER(MAX(U$2:U$486))), IF(MAX(U$2:U$486)=MIN(U$2:U$486), 50, ROUND((U421-MIN(U$2:U$486))/(MAX(U$2:U$486)-MIN(U$2:U$486))*100, 2)), "")</f>
        <v/>
      </c>
      <c r="AC421">
        <f>IF(AND(ISNUMBER(Z421), ISNUMBER(AA421), ISNUMBER(AB421)), ROUND((Z421+AA421+AB421)/3, 2), "")</f>
        <v/>
      </c>
    </row>
    <row r="422">
      <c r="A422" t="n">
        <v>153446330</v>
      </c>
      <c r="B422" t="n">
        <v>1600</v>
      </c>
      <c r="C422" t="inlineStr">
        <is>
          <t>£1,600 pcm</t>
        </is>
      </c>
      <c r="D422" t="inlineStr">
        <is>
          <t>monthly</t>
        </is>
      </c>
      <c r="E422" t="inlineStr">
        <is>
          <t>Flat</t>
        </is>
      </c>
      <c r="F422" t="n">
        <v>2</v>
      </c>
      <c r="G422" t="n">
        <v>1</v>
      </c>
      <c r="H422" t="inlineStr">
        <is>
          <t>Burford Road, Catford, SE6</t>
        </is>
      </c>
      <c r="I422" t="inlineStr">
        <is>
          <t>A RECENTLY REFURBISHED TWO BEDROOM first floor flat available to rent close to PERRY HILL, BELL GREEN, SYDENHAM HIGH STREET and plenty of TRANSPORT LINKS. Boasting a large garden, kitchen, bathroom, separate reception room and two bedrooms. Offered UNFURNISHED. Arrange your earliest viewing now.</t>
        </is>
      </c>
      <c r="J422" t="inlineStr">
        <is>
          <t>https://www.rightmove.co.uk/properties/153446330#/?channel=RES_LET</t>
        </is>
      </c>
      <c r="K422" t="inlineStr">
        <is>
          <t>/property-to-rent/contactBranch.html?propertyId=153446330</t>
        </is>
      </c>
      <c r="L422" t="inlineStr">
        <is>
          <t>CKB Estate Agents, Eltham</t>
        </is>
      </c>
      <c r="M422" t="n">
        <v>186113</v>
      </c>
      <c r="N422" t="inlineStr">
        <is>
          <t>Added on 16/09/2025</t>
        </is>
      </c>
      <c r="O422" t="inlineStr">
        <is>
          <t>2024-10-07T11:36:37Z</t>
        </is>
      </c>
      <c r="Q422" t="inlineStr">
        <is>
          <t>SE6</t>
        </is>
      </c>
      <c r="R422" t="inlineStr">
        <is>
          <t>2025-10-16T17:42:37.855951</t>
        </is>
      </c>
      <c r="S422" t="inlineStr">
        <is>
          <t>{'let available date': 'Now', 'deposit': '£1,846', 'min. tenancy': '12 months', 'let type': 'Long term', 'furnish type': 'Unfurnished', 'council tax': 'Ask agent'}</t>
        </is>
      </c>
      <c r="V422" t="b">
        <v>1</v>
      </c>
      <c r="X422" t="n">
        <v>14.74</v>
      </c>
      <c r="Y422" t="n">
        <v>50.4</v>
      </c>
      <c r="Z422">
        <f>IF(AND(ISNUMBER(B422), ISNUMBER(MIN(B$2:B$486)), ISNUMBER(MAX(B$2:B$486))), IF(MAX(B$2:B$486)=MIN(B$2:B$486), 50, ROUND((MAX(B$2:B$486)-B422)/(MAX(B$2:B$486)-MIN(B$2:B$486))*100, 2)), "")</f>
        <v/>
      </c>
      <c r="AA422">
        <f>IF(AND(ISNUMBER(X422), ISNUMBER(MIN(X$2:X$486)), ISNUMBER(MAX(X$2:X$486))), IF(MAX(X$2:X$486)=MIN(X$2:X$486), 50, ROUND((MAX(X$2:X$486)-X422)/(MAX(X$2:X$486)-MIN(X$2:X$486))*100, 2)), "")</f>
        <v/>
      </c>
      <c r="AB422">
        <f>IF(AND(ISNUMBER(U422), ISNUMBER(MIN(U$2:U$486)), ISNUMBER(MAX(U$2:U$486))), IF(MAX(U$2:U$486)=MIN(U$2:U$486), 50, ROUND((U422-MIN(U$2:U$486))/(MAX(U$2:U$486)-MIN(U$2:U$486))*100, 2)), "")</f>
        <v/>
      </c>
      <c r="AC422">
        <f>IF(AND(ISNUMBER(Z422), ISNUMBER(AA422), ISNUMBER(AB422)), ROUND((Z422+AA422+AB422)/3, 2), "")</f>
        <v/>
      </c>
    </row>
    <row r="423">
      <c r="A423" t="n">
        <v>136752290</v>
      </c>
      <c r="B423" t="n">
        <v>395</v>
      </c>
      <c r="C423" t="inlineStr">
        <is>
          <t>£1,712 pcm</t>
        </is>
      </c>
      <c r="D423" t="inlineStr">
        <is>
          <t>weekly</t>
        </is>
      </c>
      <c r="E423" t="inlineStr">
        <is>
          <t>Flat</t>
        </is>
      </c>
      <c r="F423" t="n">
        <v>2</v>
      </c>
      <c r="G423" t="n">
        <v>1</v>
      </c>
      <c r="H423" t="inlineStr">
        <is>
          <t>Inderwick Road , Crouch End / Hornsey N8</t>
        </is>
      </c>
      <c r="I423" t="inlineStr">
        <is>
          <t>Black Katz Lettings are pleased to offer this lovely this two bedroom property on a beautiful premier road in Crouch End. The property benefits from two double bedrooms with built in wardrobes, spacious living room, fully fitted kitchen with a breakfast bar, neutral decor...</t>
        </is>
      </c>
      <c r="J423" t="inlineStr">
        <is>
          <t>https://www.rightmove.co.uk/properties/136752290#/?channel=RES_LET</t>
        </is>
      </c>
      <c r="K423" t="inlineStr">
        <is>
          <t>/property-to-rent/contactBranch.html?propertyId=136752290</t>
        </is>
      </c>
      <c r="L423" t="inlineStr">
        <is>
          <t>Black Katz, Islington</t>
        </is>
      </c>
      <c r="M423" t="n">
        <v>17882</v>
      </c>
      <c r="N423" t="inlineStr">
        <is>
          <t>Added on 16/09/2025</t>
        </is>
      </c>
      <c r="O423" t="inlineStr">
        <is>
          <t>2023-06-29T16:40:04Z</t>
        </is>
      </c>
      <c r="Q423" t="inlineStr">
        <is>
          <t>N8</t>
        </is>
      </c>
      <c r="R423" t="inlineStr">
        <is>
          <t>2025-10-16T17:42:37.855954</t>
        </is>
      </c>
      <c r="S423" t="inlineStr">
        <is>
          <t>{'let available date': 'Now', 'deposit': '£1,975', 'min. tenancy': 'Ask agent', 'let type': 'Long term', 'furnish type': 'Furnished', 'council tax': 'Ask agent'}</t>
        </is>
      </c>
      <c r="V423" t="b">
        <v>1</v>
      </c>
      <c r="X423" t="n">
        <v>9.91</v>
      </c>
      <c r="Y423" t="n">
        <v>37</v>
      </c>
      <c r="Z423">
        <f>IF(AND(ISNUMBER(B423), ISNUMBER(MIN(B$2:B$486)), ISNUMBER(MAX(B$2:B$486))), IF(MAX(B$2:B$486)=MIN(B$2:B$486), 50, ROUND((MAX(B$2:B$486)-B423)/(MAX(B$2:B$486)-MIN(B$2:B$486))*100, 2)), "")</f>
        <v/>
      </c>
      <c r="AA423">
        <f>IF(AND(ISNUMBER(X423), ISNUMBER(MIN(X$2:X$486)), ISNUMBER(MAX(X$2:X$486))), IF(MAX(X$2:X$486)=MIN(X$2:X$486), 50, ROUND((MAX(X$2:X$486)-X423)/(MAX(X$2:X$486)-MIN(X$2:X$486))*100, 2)), "")</f>
        <v/>
      </c>
      <c r="AB423">
        <f>IF(AND(ISNUMBER(U423), ISNUMBER(MIN(U$2:U$486)), ISNUMBER(MAX(U$2:U$486))), IF(MAX(U$2:U$486)=MIN(U$2:U$486), 50, ROUND((U423-MIN(U$2:U$486))/(MAX(U$2:U$486)-MIN(U$2:U$486))*100, 2)), "")</f>
        <v/>
      </c>
      <c r="AC423">
        <f>IF(AND(ISNUMBER(Z423), ISNUMBER(AA423), ISNUMBER(AB423)), ROUND((Z423+AA423+AB423)/3, 2), "")</f>
        <v/>
      </c>
    </row>
    <row r="424">
      <c r="A424" t="n">
        <v>166556978</v>
      </c>
      <c r="B424" t="n">
        <v>1650</v>
      </c>
      <c r="C424" t="inlineStr">
        <is>
          <t>£1,650 pcm</t>
        </is>
      </c>
      <c r="D424" t="inlineStr">
        <is>
          <t>monthly</t>
        </is>
      </c>
      <c r="E424" t="inlineStr">
        <is>
          <t>Flat</t>
        </is>
      </c>
      <c r="F424" t="n">
        <v>2</v>
      </c>
      <c r="G424" t="n">
        <v>1</v>
      </c>
      <c r="H424" t="inlineStr">
        <is>
          <t>Sherwood Park Road, Mitcham</t>
        </is>
      </c>
      <c r="I424" t="inlineStr">
        <is>
          <t>Introducing a well-proportioned two double bedroom first floor apartment. It offers an open plan kitchen/reception room with an abundance of natural light. It boasts two good size bedrooms and is split level with modern features. It has a family bathroom and is in good condition throughout. Close...</t>
        </is>
      </c>
      <c r="J424" t="inlineStr">
        <is>
          <t>https://www.rightmove.co.uk/properties/166556978#/?channel=RES_LET</t>
        </is>
      </c>
      <c r="K424" t="inlineStr">
        <is>
          <t>/property-to-rent/contactBranch.html?propertyId=166556978</t>
        </is>
      </c>
      <c r="L424" t="inlineStr">
        <is>
          <t>James Alexander, Norbury</t>
        </is>
      </c>
      <c r="M424" t="n">
        <v>287633</v>
      </c>
      <c r="N424" t="inlineStr">
        <is>
          <t>Reduced on 16/09/2025</t>
        </is>
      </c>
      <c r="O424" t="inlineStr">
        <is>
          <t>2025-09-03T18:08:01Z</t>
        </is>
      </c>
      <c r="R424" t="inlineStr">
        <is>
          <t>2025-10-16T17:42:37.855958</t>
        </is>
      </c>
      <c r="S424" t="inlineStr">
        <is>
          <t>{'let available date': 'Ask agent', 'deposit': '£1,903', 'min. tenancy': 'Ask agent', 'let type': 'Long term', 'furnish type': 'Unfurnished', 'council tax': 'Ask agent'}</t>
        </is>
      </c>
      <c r="V424" t="b">
        <v>1</v>
      </c>
      <c r="X424" t="n">
        <v>15.95</v>
      </c>
      <c r="Y424" t="n">
        <v>54.5</v>
      </c>
      <c r="Z424">
        <f>IF(AND(ISNUMBER(B424), ISNUMBER(MIN(B$2:B$486)), ISNUMBER(MAX(B$2:B$486))), IF(MAX(B$2:B$486)=MIN(B$2:B$486), 50, ROUND((MAX(B$2:B$486)-B424)/(MAX(B$2:B$486)-MIN(B$2:B$486))*100, 2)), "")</f>
        <v/>
      </c>
      <c r="AA424">
        <f>IF(AND(ISNUMBER(X424), ISNUMBER(MIN(X$2:X$486)), ISNUMBER(MAX(X$2:X$486))), IF(MAX(X$2:X$486)=MIN(X$2:X$486), 50, ROUND((MAX(X$2:X$486)-X424)/(MAX(X$2:X$486)-MIN(X$2:X$486))*100, 2)), "")</f>
        <v/>
      </c>
      <c r="AB424">
        <f>IF(AND(ISNUMBER(U424), ISNUMBER(MIN(U$2:U$486)), ISNUMBER(MAX(U$2:U$486))), IF(MAX(U$2:U$486)=MIN(U$2:U$486), 50, ROUND((U424-MIN(U$2:U$486))/(MAX(U$2:U$486)-MIN(U$2:U$486))*100, 2)), "")</f>
        <v/>
      </c>
      <c r="AC424">
        <f>IF(AND(ISNUMBER(Z424), ISNUMBER(AA424), ISNUMBER(AB424)), ROUND((Z424+AA424+AB424)/3, 2), "")</f>
        <v/>
      </c>
    </row>
    <row r="425">
      <c r="A425" t="n">
        <v>163982624</v>
      </c>
      <c r="B425" t="n">
        <v>1700</v>
      </c>
      <c r="C425" t="inlineStr">
        <is>
          <t>£1,700 pcm</t>
        </is>
      </c>
      <c r="D425" t="inlineStr">
        <is>
          <t>monthly</t>
        </is>
      </c>
      <c r="E425" t="inlineStr">
        <is>
          <t>Flat</t>
        </is>
      </c>
      <c r="F425" t="n">
        <v>2</v>
      </c>
      <c r="G425" t="n">
        <v>1</v>
      </c>
      <c r="H425" t="inlineStr">
        <is>
          <t>Greendale, London, NW7</t>
        </is>
      </c>
      <c r="I425" t="inlineStr">
        <is>
          <t>Property Features RECENTLY REFURBISHED Ground Floor Flat Residents Parking Spacious &amp; Bright Laminate Flooring throughout 2 Double Bedrooms Fully Fitted Kitchen Communal Gardens Close to Mi... ** Property Reference: 2534944 **</t>
        </is>
      </c>
      <c r="J425" t="inlineStr">
        <is>
          <t>https://www.rightmove.co.uk/properties/163982624#/?channel=RES_LET</t>
        </is>
      </c>
      <c r="K425" t="inlineStr">
        <is>
          <t>/property-to-rent/contactBranch.html?propertyId=163982624</t>
        </is>
      </c>
      <c r="L425" t="inlineStr">
        <is>
          <t>OpenRent, London</t>
        </is>
      </c>
      <c r="M425" t="n">
        <v>96668</v>
      </c>
      <c r="N425" t="inlineStr">
        <is>
          <t>Reduced on 15/09/2025</t>
        </is>
      </c>
      <c r="O425" t="inlineStr">
        <is>
          <t>2025-06-30T17:26:18Z</t>
        </is>
      </c>
      <c r="Q425" t="inlineStr">
        <is>
          <t>NW7</t>
        </is>
      </c>
      <c r="R425" t="inlineStr">
        <is>
          <t>2025-10-16T17:42:37.855961</t>
        </is>
      </c>
      <c r="S425" t="inlineStr">
        <is>
          <t>{'let available date': 'Now', 'deposit': '£1,962', 'min. tenancy': 'Ask agent', 'let type': 'Long term', 'furnish type': 'Unfurnished', 'council tax': 'Ask agent'}</t>
        </is>
      </c>
      <c r="V425" t="b">
        <v>1</v>
      </c>
      <c r="X425" t="n">
        <v>17.56</v>
      </c>
      <c r="Y425" t="n">
        <v>49.1</v>
      </c>
      <c r="Z425">
        <f>IF(AND(ISNUMBER(B425), ISNUMBER(MIN(B$2:B$486)), ISNUMBER(MAX(B$2:B$486))), IF(MAX(B$2:B$486)=MIN(B$2:B$486), 50, ROUND((MAX(B$2:B$486)-B425)/(MAX(B$2:B$486)-MIN(B$2:B$486))*100, 2)), "")</f>
        <v/>
      </c>
      <c r="AA425">
        <f>IF(AND(ISNUMBER(X425), ISNUMBER(MIN(X$2:X$486)), ISNUMBER(MAX(X$2:X$486))), IF(MAX(X$2:X$486)=MIN(X$2:X$486), 50, ROUND((MAX(X$2:X$486)-X425)/(MAX(X$2:X$486)-MIN(X$2:X$486))*100, 2)), "")</f>
        <v/>
      </c>
      <c r="AB425">
        <f>IF(AND(ISNUMBER(U425), ISNUMBER(MIN(U$2:U$486)), ISNUMBER(MAX(U$2:U$486))), IF(MAX(U$2:U$486)=MIN(U$2:U$486), 50, ROUND((U425-MIN(U$2:U$486))/(MAX(U$2:U$486)-MIN(U$2:U$486))*100, 2)), "")</f>
        <v/>
      </c>
      <c r="AC425">
        <f>IF(AND(ISNUMBER(Z425), ISNUMBER(AA425), ISNUMBER(AB425)), ROUND((Z425+AA425+AB425)/3, 2), "")</f>
        <v/>
      </c>
    </row>
    <row r="426">
      <c r="A426" t="n">
        <v>167008415</v>
      </c>
      <c r="B426" t="n">
        <v>1700</v>
      </c>
      <c r="C426" t="inlineStr">
        <is>
          <t>£1,700 pcm</t>
        </is>
      </c>
      <c r="D426" t="inlineStr">
        <is>
          <t>monthly</t>
        </is>
      </c>
      <c r="E426" t="inlineStr">
        <is>
          <t>Apartment</t>
        </is>
      </c>
      <c r="F426" t="n">
        <v>2</v>
      </c>
      <c r="G426" t="n">
        <v>1</v>
      </c>
      <c r="H426" t="inlineStr">
        <is>
          <t>Celandine Grove, London</t>
        </is>
      </c>
      <c r="I426" t="inlineStr">
        <is>
          <t>** AVAILABLE END OF OCTOBER! ** Located in a sought after gated development, Auckland Estates are delighted to offer to rent this beautifully presented 2 Bedroom Ground floor Apartment. Finished to a high standard this spacious property features a Large Living Room with double French doors lea...</t>
        </is>
      </c>
      <c r="J426" t="inlineStr">
        <is>
          <t>https://www.rightmove.co.uk/properties/167008415#/?channel=RES_LET</t>
        </is>
      </c>
      <c r="K426" t="inlineStr">
        <is>
          <t>/property-to-rent/contactBranch.html?propertyId=167008415</t>
        </is>
      </c>
      <c r="L426" t="inlineStr">
        <is>
          <t>Auckland Estates Limited, Potters Bar</t>
        </is>
      </c>
      <c r="M426" t="n">
        <v>130810</v>
      </c>
      <c r="N426" t="inlineStr">
        <is>
          <t>Added on 15/09/2025</t>
        </is>
      </c>
      <c r="O426" t="inlineStr">
        <is>
          <t>2025-09-15T15:28:05Z</t>
        </is>
      </c>
      <c r="R426" t="inlineStr">
        <is>
          <t>2025-10-16T17:42:37.855964</t>
        </is>
      </c>
      <c r="S426" t="inlineStr">
        <is>
          <t>{'let available date': '27/10/2025', 'deposit': '£1,962', 'min. tenancy': 'Ask agent', 'let type': 'Long term', 'furnish type': 'Part furnished', 'council tax': 'Ask agent'}</t>
        </is>
      </c>
      <c r="T426" t="n">
        <v>614</v>
      </c>
      <c r="U426" t="n">
        <v>57</v>
      </c>
      <c r="V426" t="b">
        <v>1</v>
      </c>
      <c r="X426" t="n">
        <v>20.19</v>
      </c>
      <c r="Y426" t="n">
        <v>55.3</v>
      </c>
      <c r="Z426">
        <f>IF(AND(ISNUMBER(B426), ISNUMBER(MIN(B$2:B$486)), ISNUMBER(MAX(B$2:B$486))), IF(MAX(B$2:B$486)=MIN(B$2:B$486), 50, ROUND((MAX(B$2:B$486)-B426)/(MAX(B$2:B$486)-MIN(B$2:B$486))*100, 2)), "")</f>
        <v/>
      </c>
      <c r="AA426">
        <f>IF(AND(ISNUMBER(X426), ISNUMBER(MIN(X$2:X$486)), ISNUMBER(MAX(X$2:X$486))), IF(MAX(X$2:X$486)=MIN(X$2:X$486), 50, ROUND((MAX(X$2:X$486)-X426)/(MAX(X$2:X$486)-MIN(X$2:X$486))*100, 2)), "")</f>
        <v/>
      </c>
      <c r="AB426">
        <f>IF(AND(ISNUMBER(U426), ISNUMBER(MIN(U$2:U$486)), ISNUMBER(MAX(U$2:U$486))), IF(MAX(U$2:U$486)=MIN(U$2:U$486), 50, ROUND((U426-MIN(U$2:U$486))/(MAX(U$2:U$486)-MIN(U$2:U$486))*100, 2)), "")</f>
        <v/>
      </c>
      <c r="AC426">
        <f>IF(AND(ISNUMBER(Z426), ISNUMBER(AA426), ISNUMBER(AB426)), ROUND((Z426+AA426+AB426)/3, 2), "")</f>
        <v/>
      </c>
    </row>
    <row r="427">
      <c r="A427" t="n">
        <v>167004128</v>
      </c>
      <c r="B427" t="n">
        <v>1700</v>
      </c>
      <c r="C427" t="inlineStr">
        <is>
          <t>£1,700 pcm</t>
        </is>
      </c>
      <c r="D427" t="inlineStr">
        <is>
          <t>monthly</t>
        </is>
      </c>
      <c r="E427" t="inlineStr">
        <is>
          <t>Not Specified</t>
        </is>
      </c>
      <c r="F427" t="n">
        <v>2</v>
      </c>
      <c r="G427" t="n">
        <v>2</v>
      </c>
      <c r="H427" t="inlineStr">
        <is>
          <t>Swansea Court, Galleons Lock, E16</t>
        </is>
      </c>
      <c r="I427" t="inlineStr">
        <is>
          <t>Available to move into in October is this first floor, two double bedroom flat on the popular Galleons Lock development. Laminate flooring in the lounge, open plan kitchen, modern main bathroom and en suite to master bedroom. 24hr security and porter service, communal parking and close to local a...</t>
        </is>
      </c>
      <c r="J427" t="inlineStr">
        <is>
          <t>https://www.rightmove.co.uk/properties/167004128#/?channel=RES_LET</t>
        </is>
      </c>
      <c r="K427" t="inlineStr">
        <is>
          <t>/property-to-rent/contactBranch.html?propertyId=167004128</t>
        </is>
      </c>
      <c r="L427" t="inlineStr">
        <is>
          <t>Spencer James Residential, London</t>
        </is>
      </c>
      <c r="M427" t="n">
        <v>283697</v>
      </c>
      <c r="N427" t="inlineStr">
        <is>
          <t>Added on 15/09/2025</t>
        </is>
      </c>
      <c r="O427" t="inlineStr">
        <is>
          <t>2025-09-15T14:31:35Z</t>
        </is>
      </c>
      <c r="Q427" t="inlineStr">
        <is>
          <t>E16</t>
        </is>
      </c>
      <c r="R427" t="inlineStr">
        <is>
          <t>2025-10-16T17:42:37.855967</t>
        </is>
      </c>
      <c r="S427" t="inlineStr">
        <is>
          <t>{'let available date': 'Now', 'deposit': 'Ask agent', 'min. tenancy': '12 months', 'let type': 'Long term', 'furnish type': 'Unfurnished', 'council tax': 'Ask agent'}</t>
        </is>
      </c>
      <c r="V427" t="b">
        <v>1</v>
      </c>
      <c r="X427" t="n">
        <v>13.78</v>
      </c>
      <c r="Y427" t="n">
        <v>40.4</v>
      </c>
      <c r="Z427">
        <f>IF(AND(ISNUMBER(B427), ISNUMBER(MIN(B$2:B$486)), ISNUMBER(MAX(B$2:B$486))), IF(MAX(B$2:B$486)=MIN(B$2:B$486), 50, ROUND((MAX(B$2:B$486)-B427)/(MAX(B$2:B$486)-MIN(B$2:B$486))*100, 2)), "")</f>
        <v/>
      </c>
      <c r="AA427">
        <f>IF(AND(ISNUMBER(X427), ISNUMBER(MIN(X$2:X$486)), ISNUMBER(MAX(X$2:X$486))), IF(MAX(X$2:X$486)=MIN(X$2:X$486), 50, ROUND((MAX(X$2:X$486)-X427)/(MAX(X$2:X$486)-MIN(X$2:X$486))*100, 2)), "")</f>
        <v/>
      </c>
      <c r="AB427">
        <f>IF(AND(ISNUMBER(U427), ISNUMBER(MIN(U$2:U$486)), ISNUMBER(MAX(U$2:U$486))), IF(MAX(U$2:U$486)=MIN(U$2:U$486), 50, ROUND((U427-MIN(U$2:U$486))/(MAX(U$2:U$486)-MIN(U$2:U$486))*100, 2)), "")</f>
        <v/>
      </c>
      <c r="AC427">
        <f>IF(AND(ISNUMBER(Z427), ISNUMBER(AA427), ISNUMBER(AB427)), ROUND((Z427+AA427+AB427)/3, 2), "")</f>
        <v/>
      </c>
    </row>
    <row r="428">
      <c r="A428" t="n">
        <v>166995533</v>
      </c>
      <c r="B428" t="n">
        <v>1500</v>
      </c>
      <c r="C428" t="inlineStr">
        <is>
          <t>£1,500 pcm</t>
        </is>
      </c>
      <c r="D428" t="inlineStr">
        <is>
          <t>monthly</t>
        </is>
      </c>
      <c r="E428" t="inlineStr">
        <is>
          <t>Flat</t>
        </is>
      </c>
      <c r="F428" t="n">
        <v>2</v>
      </c>
      <c r="G428" t="n">
        <v>1</v>
      </c>
      <c r="H428" t="inlineStr">
        <is>
          <t>Parkgate Road, Wallington</t>
        </is>
      </c>
      <c r="I428" t="inlineStr">
        <is>
          <t>Two Bedroom Ground Floor Flat to rent with private patio area, available now. The property comprises of 2 single bedrooms, a shower room, open plan kitchen/living room and a private patio area. Please call to arrange a viewing . EPC Rating C</t>
        </is>
      </c>
      <c r="J428" t="inlineStr">
        <is>
          <t>https://www.rightmove.co.uk/properties/166995533#/?channel=RES_LET</t>
        </is>
      </c>
      <c r="K428" t="inlineStr">
        <is>
          <t>/property-to-rent/contactBranch.html?propertyId=166995533</t>
        </is>
      </c>
      <c r="L428" t="inlineStr">
        <is>
          <t>Time2Move, Tooting</t>
        </is>
      </c>
      <c r="M428" t="n">
        <v>8147</v>
      </c>
      <c r="N428" t="inlineStr">
        <is>
          <t>Added on 15/09/2025</t>
        </is>
      </c>
      <c r="O428" t="inlineStr">
        <is>
          <t>2025-09-15T12:36:33Z</t>
        </is>
      </c>
      <c r="R428" t="inlineStr">
        <is>
          <t>2025-10-16T17:42:37.855970</t>
        </is>
      </c>
      <c r="S428" t="inlineStr">
        <is>
          <t>{'let available date': 'Now', 'deposit': '£1,730', 'min. tenancy': 'Ask agent', 'let type': 'Long term', 'furnish type': 'Ask agent', 'council tax': 'Ask agent'}</t>
        </is>
      </c>
      <c r="V428" t="b">
        <v>1</v>
      </c>
      <c r="X428" t="n">
        <v>20.18</v>
      </c>
      <c r="Y428" t="n">
        <v>63.9</v>
      </c>
      <c r="Z428">
        <f>IF(AND(ISNUMBER(B428), ISNUMBER(MIN(B$2:B$486)), ISNUMBER(MAX(B$2:B$486))), IF(MAX(B$2:B$486)=MIN(B$2:B$486), 50, ROUND((MAX(B$2:B$486)-B428)/(MAX(B$2:B$486)-MIN(B$2:B$486))*100, 2)), "")</f>
        <v/>
      </c>
      <c r="AA428">
        <f>IF(AND(ISNUMBER(X428), ISNUMBER(MIN(X$2:X$486)), ISNUMBER(MAX(X$2:X$486))), IF(MAX(X$2:X$486)=MIN(X$2:X$486), 50, ROUND((MAX(X$2:X$486)-X428)/(MAX(X$2:X$486)-MIN(X$2:X$486))*100, 2)), "")</f>
        <v/>
      </c>
      <c r="AB428">
        <f>IF(AND(ISNUMBER(U428), ISNUMBER(MIN(U$2:U$486)), ISNUMBER(MAX(U$2:U$486))), IF(MAX(U$2:U$486)=MIN(U$2:U$486), 50, ROUND((U428-MIN(U$2:U$486))/(MAX(U$2:U$486)-MIN(U$2:U$486))*100, 2)), "")</f>
        <v/>
      </c>
      <c r="AC428">
        <f>IF(AND(ISNUMBER(Z428), ISNUMBER(AA428), ISNUMBER(AB428)), ROUND((Z428+AA428+AB428)/3, 2), "")</f>
        <v/>
      </c>
    </row>
    <row r="429">
      <c r="A429" t="n">
        <v>87279675</v>
      </c>
      <c r="B429" t="n">
        <v>1700</v>
      </c>
      <c r="C429" t="inlineStr">
        <is>
          <t>£1,700 pcm</t>
        </is>
      </c>
      <c r="D429" t="inlineStr">
        <is>
          <t>monthly</t>
        </is>
      </c>
      <c r="E429" t="inlineStr">
        <is>
          <t>Ground Flat</t>
        </is>
      </c>
      <c r="F429" t="n">
        <v>2</v>
      </c>
      <c r="G429" t="n">
        <v>1</v>
      </c>
      <c r="H429" t="inlineStr">
        <is>
          <t>Apsley Court, Wellesley Road, Sutton</t>
        </is>
      </c>
      <c r="I429" t="inlineStr">
        <is>
          <t>Well-presented 2 bedroom ground floor flat with own garage in South Sutton. Gas central heating, fitted kitchen, modern bathroom, easy access to station and High Street.</t>
        </is>
      </c>
      <c r="J429" t="inlineStr">
        <is>
          <t>https://www.rightmove.co.uk/properties/87279675#/?channel=RES_LET</t>
        </is>
      </c>
      <c r="K429" t="inlineStr">
        <is>
          <t>/property-to-rent/contactBranch.html?propertyId=87279675</t>
        </is>
      </c>
      <c r="L429" t="inlineStr">
        <is>
          <t>HES Residential, Sutton</t>
        </is>
      </c>
      <c r="M429" t="n">
        <v>16373</v>
      </c>
      <c r="N429" t="inlineStr">
        <is>
          <t>Added on 15/09/2025</t>
        </is>
      </c>
      <c r="O429" t="inlineStr">
        <is>
          <t>2025-09-15T11:04:37Z</t>
        </is>
      </c>
      <c r="R429" t="inlineStr">
        <is>
          <t>2025-10-16T17:42:37.855973</t>
        </is>
      </c>
      <c r="S429" t="inlineStr">
        <is>
          <t>{'let available date': 'Now', 'deposit': 'Ask agent', 'min. tenancy': 'Ask agent', 'let type': 'Long term', 'furnish type': 'Unfurnished', 'council tax': 'Ask agent'}</t>
        </is>
      </c>
      <c r="V429" t="b">
        <v>1</v>
      </c>
      <c r="X429" t="n">
        <v>21.98</v>
      </c>
      <c r="Y429" t="n">
        <v>65.5</v>
      </c>
      <c r="Z429">
        <f>IF(AND(ISNUMBER(B429), ISNUMBER(MIN(B$2:B$486)), ISNUMBER(MAX(B$2:B$486))), IF(MAX(B$2:B$486)=MIN(B$2:B$486), 50, ROUND((MAX(B$2:B$486)-B429)/(MAX(B$2:B$486)-MIN(B$2:B$486))*100, 2)), "")</f>
        <v/>
      </c>
      <c r="AA429">
        <f>IF(AND(ISNUMBER(X429), ISNUMBER(MIN(X$2:X$486)), ISNUMBER(MAX(X$2:X$486))), IF(MAX(X$2:X$486)=MIN(X$2:X$486), 50, ROUND((MAX(X$2:X$486)-X429)/(MAX(X$2:X$486)-MIN(X$2:X$486))*100, 2)), "")</f>
        <v/>
      </c>
      <c r="AB429">
        <f>IF(AND(ISNUMBER(U429), ISNUMBER(MIN(U$2:U$486)), ISNUMBER(MAX(U$2:U$486))), IF(MAX(U$2:U$486)=MIN(U$2:U$486), 50, ROUND((U429-MIN(U$2:U$486))/(MAX(U$2:U$486)-MIN(U$2:U$486))*100, 2)), "")</f>
        <v/>
      </c>
      <c r="AC429">
        <f>IF(AND(ISNUMBER(Z429), ISNUMBER(AA429), ISNUMBER(AB429)), ROUND((Z429+AA429+AB429)/3, 2), "")</f>
        <v/>
      </c>
    </row>
    <row r="430">
      <c r="A430" t="n">
        <v>166992005</v>
      </c>
      <c r="B430" t="n">
        <v>1450</v>
      </c>
      <c r="C430" t="inlineStr">
        <is>
          <t>£1,450 pcm</t>
        </is>
      </c>
      <c r="D430" t="inlineStr">
        <is>
          <t>monthly</t>
        </is>
      </c>
      <c r="E430" t="inlineStr">
        <is>
          <t>Flat</t>
        </is>
      </c>
      <c r="F430" t="n">
        <v>2</v>
      </c>
      <c r="G430" t="n">
        <v>1</v>
      </c>
      <c r="H430" t="inlineStr">
        <is>
          <t>High Street, London, SE25</t>
        </is>
      </c>
      <c r="I430" t="inlineStr">
        <is>
          <t>Beautifully presented two bedroom second floor flat available to rent. Short distance to Norwood Junction station. Offered unfurnished. Available in October with Zero Deposit Option.</t>
        </is>
      </c>
      <c r="J430" t="inlineStr">
        <is>
          <t>https://www.rightmove.co.uk/properties/166992005#/?channel=RES_LET</t>
        </is>
      </c>
      <c r="K430" t="inlineStr">
        <is>
          <t>/property-to-rent/contactBranch.html?propertyId=166992005</t>
        </is>
      </c>
      <c r="L430" t="inlineStr">
        <is>
          <t>Kinleigh Folkard &amp; Hayward - Lettings, Crystal Palace</t>
        </is>
      </c>
      <c r="M430" t="n">
        <v>85706</v>
      </c>
      <c r="N430" t="inlineStr">
        <is>
          <t>Added on 15/09/2025</t>
        </is>
      </c>
      <c r="O430" t="inlineStr">
        <is>
          <t>2025-09-15T10:01:49Z</t>
        </is>
      </c>
      <c r="Q430" t="inlineStr">
        <is>
          <t>SE25</t>
        </is>
      </c>
      <c r="R430" t="inlineStr">
        <is>
          <t>2025-10-16T17:42:37.855976</t>
        </is>
      </c>
      <c r="S430" t="inlineStr">
        <is>
          <t>{'let available date': '06/11/2025', 'deposit': '£1,673', 'min. tenancy': 'Ask agent', 'let type': 'Long term', 'furnish type': 'Unfurnished', 'council tax': 'Ask agent'}</t>
        </is>
      </c>
      <c r="T430" t="n">
        <v>48</v>
      </c>
      <c r="U430" t="n">
        <v>4</v>
      </c>
      <c r="V430" t="b">
        <v>1</v>
      </c>
      <c r="X430" t="n">
        <v>16.69</v>
      </c>
      <c r="Y430" t="n">
        <v>52.9</v>
      </c>
      <c r="Z430">
        <f>IF(AND(ISNUMBER(B430), ISNUMBER(MIN(B$2:B$486)), ISNUMBER(MAX(B$2:B$486))), IF(MAX(B$2:B$486)=MIN(B$2:B$486), 50, ROUND((MAX(B$2:B$486)-B430)/(MAX(B$2:B$486)-MIN(B$2:B$486))*100, 2)), "")</f>
        <v/>
      </c>
      <c r="AA430">
        <f>IF(AND(ISNUMBER(X430), ISNUMBER(MIN(X$2:X$486)), ISNUMBER(MAX(X$2:X$486))), IF(MAX(X$2:X$486)=MIN(X$2:X$486), 50, ROUND((MAX(X$2:X$486)-X430)/(MAX(X$2:X$486)-MIN(X$2:X$486))*100, 2)), "")</f>
        <v/>
      </c>
      <c r="AB430">
        <f>IF(AND(ISNUMBER(U430), ISNUMBER(MIN(U$2:U$486)), ISNUMBER(MAX(U$2:U$486))), IF(MAX(U$2:U$486)=MIN(U$2:U$486), 50, ROUND((U430-MIN(U$2:U$486))/(MAX(U$2:U$486)-MIN(U$2:U$486))*100, 2)), "")</f>
        <v/>
      </c>
      <c r="AC430">
        <f>IF(AND(ISNUMBER(Z430), ISNUMBER(AA430), ISNUMBER(AB430)), ROUND((Z430+AA430+AB430)/3, 2), "")</f>
        <v/>
      </c>
    </row>
    <row r="431">
      <c r="A431" t="n">
        <v>167190704</v>
      </c>
      <c r="B431" t="n">
        <v>1750</v>
      </c>
      <c r="C431" t="inlineStr">
        <is>
          <t>£1,750 pcm</t>
        </is>
      </c>
      <c r="D431" t="inlineStr">
        <is>
          <t>monthly</t>
        </is>
      </c>
      <c r="E431" t="inlineStr">
        <is>
          <t>Flat</t>
        </is>
      </c>
      <c r="F431" t="n">
        <v>2</v>
      </c>
      <c r="G431" t="n">
        <v>1</v>
      </c>
      <c r="H431" t="inlineStr">
        <is>
          <t>Hanover Road, London</t>
        </is>
      </c>
      <c r="I431" t="inlineStr">
        <is>
          <t>***Please note this is a 6 month tenancy*** Spacious two double bedroom ground floor flat with a sole use Garden, located within moments from Seven Sisters Station-Victoria Line. This delightful period conversion eagerly awaits its new occupants. Property is filled with sunligh...</t>
        </is>
      </c>
      <c r="J431" t="inlineStr">
        <is>
          <t>https://www.rightmove.co.uk/properties/167190704#/?channel=RES_LET</t>
        </is>
      </c>
      <c r="K431" t="inlineStr">
        <is>
          <t>/property-to-rent/contactBranch.html?propertyId=167190704</t>
        </is>
      </c>
      <c r="L431" t="inlineStr">
        <is>
          <t>Hunters, Tottenham</t>
        </is>
      </c>
      <c r="M431" t="n">
        <v>165956</v>
      </c>
      <c r="N431" t="inlineStr">
        <is>
          <t>Reduced on 15/09/2025</t>
        </is>
      </c>
      <c r="O431" t="inlineStr">
        <is>
          <t>2025-09-19T12:54:32Z</t>
        </is>
      </c>
      <c r="R431" t="inlineStr">
        <is>
          <t>2025-10-16T17:42:37.855979</t>
        </is>
      </c>
      <c r="S431" t="inlineStr">
        <is>
          <t>{'let available date': 'Ask agent', 'deposit': '£2,019', 'min. tenancy': 'Ask agent', 'let type': 'Short term', 'furnish type': 'Part furnished', 'council tax': 'Ask agent'}</t>
        </is>
      </c>
      <c r="V431" t="b">
        <v>1</v>
      </c>
      <c r="X431" t="n">
        <v>9.82</v>
      </c>
      <c r="Y431" t="n">
        <v>39.3</v>
      </c>
      <c r="Z431">
        <f>IF(AND(ISNUMBER(B431), ISNUMBER(MIN(B$2:B$486)), ISNUMBER(MAX(B$2:B$486))), IF(MAX(B$2:B$486)=MIN(B$2:B$486), 50, ROUND((MAX(B$2:B$486)-B431)/(MAX(B$2:B$486)-MIN(B$2:B$486))*100, 2)), "")</f>
        <v/>
      </c>
      <c r="AA431">
        <f>IF(AND(ISNUMBER(X431), ISNUMBER(MIN(X$2:X$486)), ISNUMBER(MAX(X$2:X$486))), IF(MAX(X$2:X$486)=MIN(X$2:X$486), 50, ROUND((MAX(X$2:X$486)-X431)/(MAX(X$2:X$486)-MIN(X$2:X$486))*100, 2)), "")</f>
        <v/>
      </c>
      <c r="AB431">
        <f>IF(AND(ISNUMBER(U431), ISNUMBER(MIN(U$2:U$486)), ISNUMBER(MAX(U$2:U$486))), IF(MAX(U$2:U$486)=MIN(U$2:U$486), 50, ROUND((U431-MIN(U$2:U$486))/(MAX(U$2:U$486)-MIN(U$2:U$486))*100, 2)), "")</f>
        <v/>
      </c>
      <c r="AC431">
        <f>IF(AND(ISNUMBER(Z431), ISNUMBER(AA431), ISNUMBER(AB431)), ROUND((Z431+AA431+AB431)/3, 2), "")</f>
        <v/>
      </c>
    </row>
    <row r="432">
      <c r="A432" t="n">
        <v>167645405</v>
      </c>
      <c r="B432" t="n">
        <v>1600</v>
      </c>
      <c r="C432" t="inlineStr">
        <is>
          <t>£1,600 pcm</t>
        </is>
      </c>
      <c r="D432" t="inlineStr">
        <is>
          <t>monthly</t>
        </is>
      </c>
      <c r="E432" t="inlineStr">
        <is>
          <t>Flat</t>
        </is>
      </c>
      <c r="F432" t="n">
        <v>2</v>
      </c>
      <c r="G432" t="n">
        <v>1</v>
      </c>
      <c r="H432" t="inlineStr">
        <is>
          <t>Grove Road, Sutton, SM1</t>
        </is>
      </c>
      <c r="I432" t="inlineStr">
        <is>
          <t>Very spacious two bedroom top floor (fifth floor) lift accessed apartment with spectacular views offers large lounge/diner, modern fitted kitchen, two bedrooms and a bathroom with a garage. Situa... ** Property Reference: 2579600 **</t>
        </is>
      </c>
      <c r="J432" t="inlineStr">
        <is>
          <t>https://www.rightmove.co.uk/properties/167645405#/?channel=RES_LET</t>
        </is>
      </c>
      <c r="K432" t="inlineStr">
        <is>
          <t>/property-to-rent/contactBranch.html?propertyId=167645405</t>
        </is>
      </c>
      <c r="L432" t="inlineStr">
        <is>
          <t>OpenRent, London</t>
        </is>
      </c>
      <c r="M432" t="n">
        <v>96668</v>
      </c>
      <c r="N432" t="inlineStr">
        <is>
          <t>Reduced on 13/09/2025</t>
        </is>
      </c>
      <c r="O432" t="inlineStr">
        <is>
          <t>2025-10-01T09:20:34Z</t>
        </is>
      </c>
      <c r="Q432" t="inlineStr">
        <is>
          <t>SM1</t>
        </is>
      </c>
      <c r="R432" t="inlineStr">
        <is>
          <t>2025-10-16T17:42:37.855982</t>
        </is>
      </c>
      <c r="S432" t="inlineStr">
        <is>
          <t>{'let available date': 'Now', 'deposit': '£1,846', 'min. tenancy': 'Ask agent', 'let type': 'Long term', 'furnish type': 'Unfurnished', 'council tax': 'Ask agent'}</t>
        </is>
      </c>
      <c r="V432" t="b">
        <v>1</v>
      </c>
      <c r="X432" t="n">
        <v>20.15</v>
      </c>
      <c r="Y432" t="n">
        <v>60.7</v>
      </c>
      <c r="Z432">
        <f>IF(AND(ISNUMBER(B432), ISNUMBER(MIN(B$2:B$486)), ISNUMBER(MAX(B$2:B$486))), IF(MAX(B$2:B$486)=MIN(B$2:B$486), 50, ROUND((MAX(B$2:B$486)-B432)/(MAX(B$2:B$486)-MIN(B$2:B$486))*100, 2)), "")</f>
        <v/>
      </c>
      <c r="AA432">
        <f>IF(AND(ISNUMBER(X432), ISNUMBER(MIN(X$2:X$486)), ISNUMBER(MAX(X$2:X$486))), IF(MAX(X$2:X$486)=MIN(X$2:X$486), 50, ROUND((MAX(X$2:X$486)-X432)/(MAX(X$2:X$486)-MIN(X$2:X$486))*100, 2)), "")</f>
        <v/>
      </c>
      <c r="AB432">
        <f>IF(AND(ISNUMBER(U432), ISNUMBER(MIN(U$2:U$486)), ISNUMBER(MAX(U$2:U$486))), IF(MAX(U$2:U$486)=MIN(U$2:U$486), 50, ROUND((U432-MIN(U$2:U$486))/(MAX(U$2:U$486)-MIN(U$2:U$486))*100, 2)), "")</f>
        <v/>
      </c>
      <c r="AC432">
        <f>IF(AND(ISNUMBER(Z432), ISNUMBER(AA432), ISNUMBER(AB432)), ROUND((Z432+AA432+AB432)/3, 2), "")</f>
        <v/>
      </c>
    </row>
    <row r="433">
      <c r="A433" t="n">
        <v>166931387</v>
      </c>
      <c r="B433" t="n">
        <v>1700</v>
      </c>
      <c r="C433" t="inlineStr">
        <is>
          <t>£1,700 pcm</t>
        </is>
      </c>
      <c r="D433" t="inlineStr">
        <is>
          <t>monthly</t>
        </is>
      </c>
      <c r="E433" t="inlineStr">
        <is>
          <t>Apartment</t>
        </is>
      </c>
      <c r="F433" t="n">
        <v>2</v>
      </c>
      <c r="G433" t="n">
        <v>1</v>
      </c>
      <c r="H433" t="inlineStr">
        <is>
          <t>Merton Mansions, Bushey Road, Raynes Park</t>
        </is>
      </c>
      <c r="I433" t="inlineStr">
        <is>
          <t>Accommodation Comprises: Entrance Hall: With large under stairs storage and a cupboard housing the washing machine. Reception Room: Spacious reception room with feature fire place, leather sofa, dining table and chairs. Kitchen: Fully fitted kitchen with stainless stee...</t>
        </is>
      </c>
      <c r="J433" t="inlineStr">
        <is>
          <t>https://www.rightmove.co.uk/properties/166931387#/?channel=RES_LET</t>
        </is>
      </c>
      <c r="K433" t="inlineStr">
        <is>
          <t>/property-to-rent/contactBranch.html?propertyId=166931387</t>
        </is>
      </c>
      <c r="L433" t="inlineStr">
        <is>
          <t>Keys Residential, New Malden</t>
        </is>
      </c>
      <c r="M433" t="n">
        <v>34266</v>
      </c>
      <c r="N433" t="inlineStr">
        <is>
          <t>Added on 12/09/2025</t>
        </is>
      </c>
      <c r="O433" t="inlineStr">
        <is>
          <t>2025-09-12T14:25:09Z</t>
        </is>
      </c>
      <c r="R433" t="inlineStr">
        <is>
          <t>2025-10-16T17:42:37.855985</t>
        </is>
      </c>
      <c r="S433" t="inlineStr">
        <is>
          <t>{'let available date': '01/11/2025', 'deposit': '£1,961', 'min. tenancy': 'Ask agent', 'let type': 'Long term', 'furnish type': 'Unfurnished', 'council tax': 'Ask agent'}</t>
        </is>
      </c>
      <c r="V433" t="b">
        <v>1</v>
      </c>
      <c r="X433" t="n">
        <v>16.78</v>
      </c>
      <c r="Y433" t="n">
        <v>55.9</v>
      </c>
      <c r="Z433">
        <f>IF(AND(ISNUMBER(B433), ISNUMBER(MIN(B$2:B$486)), ISNUMBER(MAX(B$2:B$486))), IF(MAX(B$2:B$486)=MIN(B$2:B$486), 50, ROUND((MAX(B$2:B$486)-B433)/(MAX(B$2:B$486)-MIN(B$2:B$486))*100, 2)), "")</f>
        <v/>
      </c>
      <c r="AA433">
        <f>IF(AND(ISNUMBER(X433), ISNUMBER(MIN(X$2:X$486)), ISNUMBER(MAX(X$2:X$486))), IF(MAX(X$2:X$486)=MIN(X$2:X$486), 50, ROUND((MAX(X$2:X$486)-X433)/(MAX(X$2:X$486)-MIN(X$2:X$486))*100, 2)), "")</f>
        <v/>
      </c>
      <c r="AB433">
        <f>IF(AND(ISNUMBER(U433), ISNUMBER(MIN(U$2:U$486)), ISNUMBER(MAX(U$2:U$486))), IF(MAX(U$2:U$486)=MIN(U$2:U$486), 50, ROUND((U433-MIN(U$2:U$486))/(MAX(U$2:U$486)-MIN(U$2:U$486))*100, 2)), "")</f>
        <v/>
      </c>
      <c r="AC433">
        <f>IF(AND(ISNUMBER(Z433), ISNUMBER(AA433), ISNUMBER(AB433)), ROUND((Z433+AA433+AB433)/3, 2), "")</f>
        <v/>
      </c>
    </row>
    <row r="434">
      <c r="A434" t="n">
        <v>164170001</v>
      </c>
      <c r="B434" t="n">
        <v>1500</v>
      </c>
      <c r="C434" t="inlineStr">
        <is>
          <t>£1,500 pcm</t>
        </is>
      </c>
      <c r="D434" t="inlineStr">
        <is>
          <t>monthly</t>
        </is>
      </c>
      <c r="E434" t="inlineStr">
        <is>
          <t>Flat</t>
        </is>
      </c>
      <c r="F434" t="n">
        <v>2</v>
      </c>
      <c r="G434" t="n">
        <v>1</v>
      </c>
      <c r="H434" t="inlineStr">
        <is>
          <t>Melbourne Court, Anerley Road, London, SE20</t>
        </is>
      </c>
      <c r="I434" t="inlineStr">
        <is>
          <t>Spacious 2 Bedroom Flat | 2nd Floor | Open-plan Living Room &amp; Kitchen | 2 Double Bedrooms | Off Street Parking | Balcony | Unfurnished | Available Immediately</t>
        </is>
      </c>
      <c r="J434" t="inlineStr">
        <is>
          <t>https://www.rightmove.co.uk/properties/164170001#/?channel=RES_LET</t>
        </is>
      </c>
      <c r="K434" t="inlineStr">
        <is>
          <t>/property-to-rent/contactBranch.html?propertyId=164170001</t>
        </is>
      </c>
      <c r="L434" t="inlineStr">
        <is>
          <t>Milegate, London</t>
        </is>
      </c>
      <c r="M434" t="n">
        <v>123322</v>
      </c>
      <c r="N434" t="inlineStr">
        <is>
          <t>Reduced on 11/09/2025</t>
        </is>
      </c>
      <c r="O434" t="inlineStr">
        <is>
          <t>2025-07-04T13:10:38Z</t>
        </is>
      </c>
      <c r="Q434" t="inlineStr">
        <is>
          <t>SE20</t>
        </is>
      </c>
      <c r="R434" t="inlineStr">
        <is>
          <t>2025-10-16T17:42:39.529807</t>
        </is>
      </c>
      <c r="S434" t="inlineStr">
        <is>
          <t>{'let available date': 'Ask agent', 'deposit': '£1,730', 'min. tenancy': 'Ask agent', 'let type': 'Long term', 'furnish type': 'Unfurnished', 'council tax': 'Ask agent'}</t>
        </is>
      </c>
      <c r="V434" t="b">
        <v>1</v>
      </c>
      <c r="X434" t="n">
        <v>15.17</v>
      </c>
      <c r="Y434" t="n">
        <v>49.5</v>
      </c>
      <c r="Z434">
        <f>IF(AND(ISNUMBER(B434), ISNUMBER(MIN(B$2:B$486)), ISNUMBER(MAX(B$2:B$486))), IF(MAX(B$2:B$486)=MIN(B$2:B$486), 50, ROUND((MAX(B$2:B$486)-B434)/(MAX(B$2:B$486)-MIN(B$2:B$486))*100, 2)), "")</f>
        <v/>
      </c>
      <c r="AA434">
        <f>IF(AND(ISNUMBER(X434), ISNUMBER(MIN(X$2:X$486)), ISNUMBER(MAX(X$2:X$486))), IF(MAX(X$2:X$486)=MIN(X$2:X$486), 50, ROUND((MAX(X$2:X$486)-X434)/(MAX(X$2:X$486)-MIN(X$2:X$486))*100, 2)), "")</f>
        <v/>
      </c>
      <c r="AB434">
        <f>IF(AND(ISNUMBER(U434), ISNUMBER(MIN(U$2:U$486)), ISNUMBER(MAX(U$2:U$486))), IF(MAX(U$2:U$486)=MIN(U$2:U$486), 50, ROUND((U434-MIN(U$2:U$486))/(MAX(U$2:U$486)-MIN(U$2:U$486))*100, 2)), "")</f>
        <v/>
      </c>
      <c r="AC434">
        <f>IF(AND(ISNUMBER(Z434), ISNUMBER(AA434), ISNUMBER(AB434)), ROUND((Z434+AA434+AB434)/3, 2), "")</f>
        <v/>
      </c>
    </row>
    <row r="435">
      <c r="A435" t="n">
        <v>161883680</v>
      </c>
      <c r="B435" t="n">
        <v>1575</v>
      </c>
      <c r="C435" t="inlineStr">
        <is>
          <t>£1,575 pcm</t>
        </is>
      </c>
      <c r="D435" t="inlineStr">
        <is>
          <t>monthly</t>
        </is>
      </c>
      <c r="E435" t="inlineStr">
        <is>
          <t>Flat</t>
        </is>
      </c>
      <c r="F435" t="n">
        <v>2</v>
      </c>
      <c r="G435" t="n">
        <v>1</v>
      </c>
      <c r="H435" t="inlineStr">
        <is>
          <t>Melbourne Court, Anerley Road, London, SE20</t>
        </is>
      </c>
      <c r="I435" t="inlineStr">
        <is>
          <t>Spacious 2 Bedroom Flat | Ground Floor | Open-plan Living Room &amp; Kitchen | 2 Double Bedrooms | Off Street Parking | Balcony | Furnished or Unfurnished | Available Immediately</t>
        </is>
      </c>
      <c r="J435" t="inlineStr">
        <is>
          <t>https://www.rightmove.co.uk/properties/161883680#/?channel=RES_LET</t>
        </is>
      </c>
      <c r="K435" t="inlineStr">
        <is>
          <t>/property-to-rent/contactBranch.html?propertyId=161883680</t>
        </is>
      </c>
      <c r="L435" t="inlineStr">
        <is>
          <t>Milegate, London</t>
        </is>
      </c>
      <c r="M435" t="n">
        <v>123322</v>
      </c>
      <c r="N435" t="inlineStr">
        <is>
          <t>Reduced on 11/09/2025</t>
        </is>
      </c>
      <c r="O435" t="inlineStr">
        <is>
          <t>2025-05-13T15:25:37Z</t>
        </is>
      </c>
      <c r="Q435" t="inlineStr">
        <is>
          <t>SE20</t>
        </is>
      </c>
      <c r="R435" t="inlineStr">
        <is>
          <t>2025-10-16T17:42:39.529818</t>
        </is>
      </c>
      <c r="S435" t="inlineStr">
        <is>
          <t>{'let available date': 'Ask agent', 'deposit': '£1,817', 'min. tenancy': 'Ask agent', 'let type': 'Long term', 'furnish type': 'Furnished or unfurnished, landlord is flexible', 'council tax': 'Ask agent'}</t>
        </is>
      </c>
      <c r="V435" t="b">
        <v>1</v>
      </c>
      <c r="X435" t="n">
        <v>15.17</v>
      </c>
      <c r="Y435" t="n">
        <v>49.5</v>
      </c>
      <c r="Z435">
        <f>IF(AND(ISNUMBER(B435), ISNUMBER(MIN(B$2:B$486)), ISNUMBER(MAX(B$2:B$486))), IF(MAX(B$2:B$486)=MIN(B$2:B$486), 50, ROUND((MAX(B$2:B$486)-B435)/(MAX(B$2:B$486)-MIN(B$2:B$486))*100, 2)), "")</f>
        <v/>
      </c>
      <c r="AA435">
        <f>IF(AND(ISNUMBER(X435), ISNUMBER(MIN(X$2:X$486)), ISNUMBER(MAX(X$2:X$486))), IF(MAX(X$2:X$486)=MIN(X$2:X$486), 50, ROUND((MAX(X$2:X$486)-X435)/(MAX(X$2:X$486)-MIN(X$2:X$486))*100, 2)), "")</f>
        <v/>
      </c>
      <c r="AB435">
        <f>IF(AND(ISNUMBER(U435), ISNUMBER(MIN(U$2:U$486)), ISNUMBER(MAX(U$2:U$486))), IF(MAX(U$2:U$486)=MIN(U$2:U$486), 50, ROUND((U435-MIN(U$2:U$486))/(MAX(U$2:U$486)-MIN(U$2:U$486))*100, 2)), "")</f>
        <v/>
      </c>
      <c r="AC435">
        <f>IF(AND(ISNUMBER(Z435), ISNUMBER(AA435), ISNUMBER(AB435)), ROUND((Z435+AA435+AB435)/3, 2), "")</f>
        <v/>
      </c>
    </row>
    <row r="436">
      <c r="A436" t="n">
        <v>164728478</v>
      </c>
      <c r="B436" t="n">
        <v>1750</v>
      </c>
      <c r="C436" t="inlineStr">
        <is>
          <t>£1,750 pcm</t>
        </is>
      </c>
      <c r="D436" t="inlineStr">
        <is>
          <t>monthly</t>
        </is>
      </c>
      <c r="E436" t="inlineStr">
        <is>
          <t>Terraced</t>
        </is>
      </c>
      <c r="F436" t="n">
        <v>2</v>
      </c>
      <c r="G436" t="n">
        <v>1</v>
      </c>
      <c r="H436" t="inlineStr">
        <is>
          <t>Leverson Street, Furzedown, SW16</t>
        </is>
      </c>
      <c r="I436" t="inlineStr">
        <is>
          <t>An immaculately presented first floor Edwardian maisonette with a lovely, well maintained private garden. Boasting over 700 square foot of living space the property offers a spacious sitting room to the front, an eat-in kitchen a spacious double bedroom and second bedroom providing a naturally br...</t>
        </is>
      </c>
      <c r="J436" t="inlineStr">
        <is>
          <t>https://www.rightmove.co.uk/properties/164728478#/?channel=RES_LET</t>
        </is>
      </c>
      <c r="K436" t="inlineStr">
        <is>
          <t>/property-to-rent/contactBranch.html?propertyId=164728478</t>
        </is>
      </c>
      <c r="L436" t="inlineStr">
        <is>
          <t>Aspire, Balham</t>
        </is>
      </c>
      <c r="M436" t="n">
        <v>45018</v>
      </c>
      <c r="N436" t="inlineStr">
        <is>
          <t>Reduced on 10/09/2025</t>
        </is>
      </c>
      <c r="O436" t="inlineStr">
        <is>
          <t>2025-07-19T22:14:04Z</t>
        </is>
      </c>
      <c r="Q436" t="inlineStr">
        <is>
          <t>SW16</t>
        </is>
      </c>
      <c r="R436" t="inlineStr">
        <is>
          <t>2025-10-16T17:42:39.529827</t>
        </is>
      </c>
      <c r="S436" t="inlineStr">
        <is>
          <t>{'let available date': 'Ask agent', 'deposit': '£2,019', 'min. tenancy': 'Ask agent', 'let type': 'Long term', 'furnish type': 'Furnished', 'council tax': 'Ask agent'}</t>
        </is>
      </c>
      <c r="V436" t="b">
        <v>1</v>
      </c>
      <c r="X436" t="n">
        <v>12.65</v>
      </c>
      <c r="Y436" t="n">
        <v>45.8</v>
      </c>
      <c r="Z436">
        <f>IF(AND(ISNUMBER(B436), ISNUMBER(MIN(B$2:B$486)), ISNUMBER(MAX(B$2:B$486))), IF(MAX(B$2:B$486)=MIN(B$2:B$486), 50, ROUND((MAX(B$2:B$486)-B436)/(MAX(B$2:B$486)-MIN(B$2:B$486))*100, 2)), "")</f>
        <v/>
      </c>
      <c r="AA436">
        <f>IF(AND(ISNUMBER(X436), ISNUMBER(MIN(X$2:X$486)), ISNUMBER(MAX(X$2:X$486))), IF(MAX(X$2:X$486)=MIN(X$2:X$486), 50, ROUND((MAX(X$2:X$486)-X436)/(MAX(X$2:X$486)-MIN(X$2:X$486))*100, 2)), "")</f>
        <v/>
      </c>
      <c r="AB436">
        <f>IF(AND(ISNUMBER(U436), ISNUMBER(MIN(U$2:U$486)), ISNUMBER(MAX(U$2:U$486))), IF(MAX(U$2:U$486)=MIN(U$2:U$486), 50, ROUND((U436-MIN(U$2:U$486))/(MAX(U$2:U$486)-MIN(U$2:U$486))*100, 2)), "")</f>
        <v/>
      </c>
      <c r="AC436">
        <f>IF(AND(ISNUMBER(Z436), ISNUMBER(AA436), ISNUMBER(AB436)), ROUND((Z436+AA436+AB436)/3, 2), "")</f>
        <v/>
      </c>
    </row>
    <row r="437">
      <c r="A437" t="n">
        <v>167583074</v>
      </c>
      <c r="B437" t="n">
        <v>1595</v>
      </c>
      <c r="C437" t="inlineStr">
        <is>
          <t>£1,595 pcm</t>
        </is>
      </c>
      <c r="D437" t="inlineStr">
        <is>
          <t>monthly</t>
        </is>
      </c>
      <c r="E437" t="inlineStr">
        <is>
          <t>Flat</t>
        </is>
      </c>
      <c r="F437" t="n">
        <v>2</v>
      </c>
      <c r="G437" t="n">
        <v>1</v>
      </c>
      <c r="H437" t="inlineStr">
        <is>
          <t>Nicola House, High Street, South Norwood</t>
        </is>
      </c>
      <c r="I437" t="inlineStr">
        <is>
          <t xml:space="preserve">Situated on South Norwood High Street is this charming two-bedroom Unfurnished flat which offers a perfect blend of comfort and convenience. Situated on the third floor of a purpose-built block, this property spans an impressive 657 square feet, providing ample space for modern living. </t>
        </is>
      </c>
      <c r="J437" t="inlineStr">
        <is>
          <t>https://www.rightmove.co.uk/properties/167583074#/?channel=RES_LET</t>
        </is>
      </c>
      <c r="K437" t="inlineStr">
        <is>
          <t>/property-to-rent/contactBranch.html?propertyId=167583074</t>
        </is>
      </c>
      <c r="L437" t="inlineStr">
        <is>
          <t>Northwoods Residential, London</t>
        </is>
      </c>
      <c r="M437" t="n">
        <v>18680</v>
      </c>
      <c r="N437" t="inlineStr">
        <is>
          <t>Added on 10/09/2025</t>
        </is>
      </c>
      <c r="O437" t="inlineStr">
        <is>
          <t>2025-09-29T22:13:59Z</t>
        </is>
      </c>
      <c r="R437" t="inlineStr">
        <is>
          <t>2025-10-16T17:42:39.529835</t>
        </is>
      </c>
      <c r="S437" t="inlineStr">
        <is>
          <t>{'let available date': 'Ask agent', 'deposit': '£1,595', 'min. tenancy': 'Ask agent', 'let type': 'Long term', 'furnish type': 'Unfurnished', 'council tax': 'Ask agent'}</t>
        </is>
      </c>
      <c r="T437" t="n">
        <v>657</v>
      </c>
      <c r="U437" t="n">
        <v>61</v>
      </c>
      <c r="V437" t="b">
        <v>1</v>
      </c>
      <c r="X437" t="n">
        <v>16.37</v>
      </c>
      <c r="Y437" t="n">
        <v>51.5</v>
      </c>
      <c r="Z437">
        <f>IF(AND(ISNUMBER(B437), ISNUMBER(MIN(B$2:B$486)), ISNUMBER(MAX(B$2:B$486))), IF(MAX(B$2:B$486)=MIN(B$2:B$486), 50, ROUND((MAX(B$2:B$486)-B437)/(MAX(B$2:B$486)-MIN(B$2:B$486))*100, 2)), "")</f>
        <v/>
      </c>
      <c r="AA437">
        <f>IF(AND(ISNUMBER(X437), ISNUMBER(MIN(X$2:X$486)), ISNUMBER(MAX(X$2:X$486))), IF(MAX(X$2:X$486)=MIN(X$2:X$486), 50, ROUND((MAX(X$2:X$486)-X437)/(MAX(X$2:X$486)-MIN(X$2:X$486))*100, 2)), "")</f>
        <v/>
      </c>
      <c r="AB437">
        <f>IF(AND(ISNUMBER(U437), ISNUMBER(MIN(U$2:U$486)), ISNUMBER(MAX(U$2:U$486))), IF(MAX(U$2:U$486)=MIN(U$2:U$486), 50, ROUND((U437-MIN(U$2:U$486))/(MAX(U$2:U$486)-MIN(U$2:U$486))*100, 2)), "")</f>
        <v/>
      </c>
      <c r="AC437">
        <f>IF(AND(ISNUMBER(Z437), ISNUMBER(AA437), ISNUMBER(AB437)), ROUND((Z437+AA437+AB437)/3, 2), "")</f>
        <v/>
      </c>
    </row>
    <row r="438">
      <c r="A438" t="n">
        <v>164872643</v>
      </c>
      <c r="B438" t="n">
        <v>1650</v>
      </c>
      <c r="C438" t="inlineStr">
        <is>
          <t>£1,650 pcm</t>
        </is>
      </c>
      <c r="D438" t="inlineStr">
        <is>
          <t>monthly</t>
        </is>
      </c>
      <c r="E438" t="inlineStr">
        <is>
          <t>Flat</t>
        </is>
      </c>
      <c r="F438" t="n">
        <v>2</v>
      </c>
      <c r="G438" t="n">
        <v>1</v>
      </c>
      <c r="H438" t="inlineStr">
        <is>
          <t>South Birkbeck Road, Leytonstone, E11</t>
        </is>
      </c>
      <c r="I438" t="inlineStr">
        <is>
          <t>*** AVAILABLE NOW ** TWO BEDROOM FLAT ** GROUND FLOOR ** MODERN KITCHEN AND BATHROOM ** NEUTRAL DECORATION *** SECURITY ENTRY PHONE *** DOUBLE GLAZING ** GAS CENTRAL HEATING **</t>
        </is>
      </c>
      <c r="J438" t="inlineStr">
        <is>
          <t>https://www.rightmove.co.uk/properties/164872643#/?channel=RES_LET</t>
        </is>
      </c>
      <c r="K438" t="inlineStr">
        <is>
          <t>/property-to-rent/contactBranch.html?propertyId=164872643</t>
        </is>
      </c>
      <c r="L438" t="inlineStr">
        <is>
          <t>Bairstow Eves Lettings, Wanstead</t>
        </is>
      </c>
      <c r="M438" t="n">
        <v>65174</v>
      </c>
      <c r="N438" t="inlineStr">
        <is>
          <t>Reduced on 10/09/2025</t>
        </is>
      </c>
      <c r="O438" t="inlineStr">
        <is>
          <t>2025-07-23T17:17:03Z</t>
        </is>
      </c>
      <c r="Q438" t="inlineStr">
        <is>
          <t>E11</t>
        </is>
      </c>
      <c r="R438" t="inlineStr">
        <is>
          <t>2025-10-16T17:42:39.529843</t>
        </is>
      </c>
      <c r="S438" t="inlineStr">
        <is>
          <t>{'let available date': 'Now', 'deposit': '£1,903', 'min. tenancy': 'Ask agent', 'let type': 'Long term', 'furnish type': 'Part furnished', 'council tax': 'Ask agent'}</t>
        </is>
      </c>
      <c r="V438" t="b">
        <v>1</v>
      </c>
      <c r="X438" t="n">
        <v>13.87</v>
      </c>
      <c r="Y438" t="n">
        <v>45.6</v>
      </c>
      <c r="Z438">
        <f>IF(AND(ISNUMBER(B438), ISNUMBER(MIN(B$2:B$486)), ISNUMBER(MAX(B$2:B$486))), IF(MAX(B$2:B$486)=MIN(B$2:B$486), 50, ROUND((MAX(B$2:B$486)-B438)/(MAX(B$2:B$486)-MIN(B$2:B$486))*100, 2)), "")</f>
        <v/>
      </c>
      <c r="AA438">
        <f>IF(AND(ISNUMBER(X438), ISNUMBER(MIN(X$2:X$486)), ISNUMBER(MAX(X$2:X$486))), IF(MAX(X$2:X$486)=MIN(X$2:X$486), 50, ROUND((MAX(X$2:X$486)-X438)/(MAX(X$2:X$486)-MIN(X$2:X$486))*100, 2)), "")</f>
        <v/>
      </c>
      <c r="AB438">
        <f>IF(AND(ISNUMBER(U438), ISNUMBER(MIN(U$2:U$486)), ISNUMBER(MAX(U$2:U$486))), IF(MAX(U$2:U$486)=MIN(U$2:U$486), 50, ROUND((U438-MIN(U$2:U$486))/(MAX(U$2:U$486)-MIN(U$2:U$486))*100, 2)), "")</f>
        <v/>
      </c>
      <c r="AC438">
        <f>IF(AND(ISNUMBER(Z438), ISNUMBER(AA438), ISNUMBER(AB438)), ROUND((Z438+AA438+AB438)/3, 2), "")</f>
        <v/>
      </c>
    </row>
    <row r="439">
      <c r="A439" t="n">
        <v>166815863</v>
      </c>
      <c r="B439" t="n">
        <v>1600</v>
      </c>
      <c r="C439" t="inlineStr">
        <is>
          <t>£1,600 pcm</t>
        </is>
      </c>
      <c r="D439" t="inlineStr">
        <is>
          <t>monthly</t>
        </is>
      </c>
      <c r="E439" t="inlineStr">
        <is>
          <t>Flat</t>
        </is>
      </c>
      <c r="F439" t="n">
        <v>2</v>
      </c>
      <c r="H439" t="inlineStr">
        <is>
          <t>Cherrydown Avenue, London, E4</t>
        </is>
      </c>
      <c r="I439" t="inlineStr">
        <is>
          <t xml:space="preserve">NEW PICTURES COMING SOON!Rainbow Reid are pleased to present this two bedroom flat to the market which would make a great property for a professional couple and/or a young family. The property in full comprises: lounge/diner, modern kitchen, two bedrooms, and modern bathroom. </t>
        </is>
      </c>
      <c r="J439" t="inlineStr">
        <is>
          <t>https://www.rightmove.co.uk/properties/166815863#/?channel=RES_LET</t>
        </is>
      </c>
      <c r="K439" t="inlineStr">
        <is>
          <t>/property-to-rent/contactBranch.html?propertyId=166815863</t>
        </is>
      </c>
      <c r="L439" t="inlineStr">
        <is>
          <t>David Conway &amp; Co, South Harrow - Sales</t>
        </is>
      </c>
      <c r="M439" t="n">
        <v>6116</v>
      </c>
      <c r="N439" t="inlineStr">
        <is>
          <t>Added on 10/09/2025</t>
        </is>
      </c>
      <c r="O439" t="inlineStr">
        <is>
          <t>2025-09-10T11:03:00Z</t>
        </is>
      </c>
      <c r="Q439" t="inlineStr">
        <is>
          <t>E4</t>
        </is>
      </c>
      <c r="R439" t="inlineStr">
        <is>
          <t>2025-10-16T17:42:39.529850</t>
        </is>
      </c>
      <c r="S439" t="inlineStr">
        <is>
          <t>{'let available date': 'Ask agent', 'deposit': 'Ask agent', 'min. tenancy': 'Ask agent', 'let type': 'Long term', 'furnish type': 'Ask agent', 'council tax': 'Ask agent'}</t>
        </is>
      </c>
      <c r="V439" t="b">
        <v>1</v>
      </c>
      <c r="X439" t="n">
        <v>19.48</v>
      </c>
      <c r="Y439" t="n">
        <v>57.2</v>
      </c>
      <c r="Z439">
        <f>IF(AND(ISNUMBER(B439), ISNUMBER(MIN(B$2:B$486)), ISNUMBER(MAX(B$2:B$486))), IF(MAX(B$2:B$486)=MIN(B$2:B$486), 50, ROUND((MAX(B$2:B$486)-B439)/(MAX(B$2:B$486)-MIN(B$2:B$486))*100, 2)), "")</f>
        <v/>
      </c>
      <c r="AA439">
        <f>IF(AND(ISNUMBER(X439), ISNUMBER(MIN(X$2:X$486)), ISNUMBER(MAX(X$2:X$486))), IF(MAX(X$2:X$486)=MIN(X$2:X$486), 50, ROUND((MAX(X$2:X$486)-X439)/(MAX(X$2:X$486)-MIN(X$2:X$486))*100, 2)), "")</f>
        <v/>
      </c>
      <c r="AB439">
        <f>IF(AND(ISNUMBER(U439), ISNUMBER(MIN(U$2:U$486)), ISNUMBER(MAX(U$2:U$486))), IF(MAX(U$2:U$486)=MIN(U$2:U$486), 50, ROUND((U439-MIN(U$2:U$486))/(MAX(U$2:U$486)-MIN(U$2:U$486))*100, 2)), "")</f>
        <v/>
      </c>
      <c r="AC439">
        <f>IF(AND(ISNUMBER(Z439), ISNUMBER(AA439), ISNUMBER(AB439)), ROUND((Z439+AA439+AB439)/3, 2), "")</f>
        <v/>
      </c>
    </row>
    <row r="440">
      <c r="A440" t="n">
        <v>168024119</v>
      </c>
      <c r="B440" t="n">
        <v>1695</v>
      </c>
      <c r="C440" t="inlineStr">
        <is>
          <t>£1,695 pcm</t>
        </is>
      </c>
      <c r="D440" t="inlineStr">
        <is>
          <t>monthly</t>
        </is>
      </c>
      <c r="E440" t="inlineStr">
        <is>
          <t>Flat</t>
        </is>
      </c>
      <c r="F440" t="n">
        <v>2</v>
      </c>
      <c r="G440" t="n">
        <v>1</v>
      </c>
      <c r="H440" t="inlineStr">
        <is>
          <t>Woodlands Court, Woodlands, Golders Green, NW11</t>
        </is>
      </c>
      <c r="I440" t="inlineStr">
        <is>
          <t>Well presented two bedroom apartment located on the ever popular Woodlands NW11 moments from amenities of Golders Green &amp; Brent Cross tube station (Northern Line, Zone 3). The apartment features a spacious bright reception room, separate kitchen, one double and one single bedroom. Available Now.</t>
        </is>
      </c>
      <c r="J440" t="inlineStr">
        <is>
          <t>https://www.rightmove.co.uk/properties/168024119#/?channel=RES_LET</t>
        </is>
      </c>
      <c r="K440" t="inlineStr">
        <is>
          <t>/property-to-rent/contactBranch.html?propertyId=168024119</t>
        </is>
      </c>
      <c r="L440" t="inlineStr">
        <is>
          <t>Roundtree Real Estate, London</t>
        </is>
      </c>
      <c r="M440" t="n">
        <v>46965</v>
      </c>
      <c r="N440" t="inlineStr">
        <is>
          <t>Reduced on 10/09/2025</t>
        </is>
      </c>
      <c r="O440" t="inlineStr">
        <is>
          <t>2025-10-09T11:32:41Z</t>
        </is>
      </c>
      <c r="Q440" t="inlineStr">
        <is>
          <t>NW11</t>
        </is>
      </c>
      <c r="R440" t="inlineStr">
        <is>
          <t>2025-10-16T17:42:39.529857</t>
        </is>
      </c>
      <c r="S440" t="inlineStr">
        <is>
          <t>{'let available date': 'Now', 'deposit': '£1,956', 'min. tenancy': 'Ask agent', 'let type': 'Long term', 'furnish type': 'Furnished', 'council tax': 'Ask agent'}</t>
        </is>
      </c>
      <c r="V440" t="b">
        <v>1</v>
      </c>
      <c r="X440" t="n">
        <v>11.12</v>
      </c>
      <c r="Y440" t="n">
        <v>39.2</v>
      </c>
      <c r="Z440">
        <f>IF(AND(ISNUMBER(B440), ISNUMBER(MIN(B$2:B$486)), ISNUMBER(MAX(B$2:B$486))), IF(MAX(B$2:B$486)=MIN(B$2:B$486), 50, ROUND((MAX(B$2:B$486)-B440)/(MAX(B$2:B$486)-MIN(B$2:B$486))*100, 2)), "")</f>
        <v/>
      </c>
      <c r="AA440">
        <f>IF(AND(ISNUMBER(X440), ISNUMBER(MIN(X$2:X$486)), ISNUMBER(MAX(X$2:X$486))), IF(MAX(X$2:X$486)=MIN(X$2:X$486), 50, ROUND((MAX(X$2:X$486)-X440)/(MAX(X$2:X$486)-MIN(X$2:X$486))*100, 2)), "")</f>
        <v/>
      </c>
      <c r="AB440">
        <f>IF(AND(ISNUMBER(U440), ISNUMBER(MIN(U$2:U$486)), ISNUMBER(MAX(U$2:U$486))), IF(MAX(U$2:U$486)=MIN(U$2:U$486), 50, ROUND((U440-MIN(U$2:U$486))/(MAX(U$2:U$486)-MIN(U$2:U$486))*100, 2)), "")</f>
        <v/>
      </c>
      <c r="AC440">
        <f>IF(AND(ISNUMBER(Z440), ISNUMBER(AA440), ISNUMBER(AB440)), ROUND((Z440+AA440+AB440)/3, 2), "")</f>
        <v/>
      </c>
    </row>
    <row r="441">
      <c r="A441" t="n">
        <v>168256523</v>
      </c>
      <c r="B441" t="n">
        <v>1600</v>
      </c>
      <c r="C441" t="inlineStr">
        <is>
          <t>£1,600 pcm</t>
        </is>
      </c>
      <c r="D441" t="inlineStr">
        <is>
          <t>monthly</t>
        </is>
      </c>
      <c r="E441" t="inlineStr">
        <is>
          <t>Flat</t>
        </is>
      </c>
      <c r="F441" t="n">
        <v>2</v>
      </c>
      <c r="G441" t="n">
        <v>1</v>
      </c>
      <c r="H441" t="inlineStr">
        <is>
          <t>West Street, London, E11</t>
        </is>
      </c>
      <c r="I441" t="inlineStr">
        <is>
          <t>This spacious apartment benefits from two double bedrooms, one of which comes off the spacious living area with a juliette balcony and open plan kitchen. It is a first floor flat with a communal garden and secure entry system, also offered furnished It is located off of High Road Leyt...</t>
        </is>
      </c>
      <c r="J441" t="inlineStr">
        <is>
          <t>https://www.rightmove.co.uk/properties/168256523#/?channel=RES_LET</t>
        </is>
      </c>
      <c r="K441" t="inlineStr">
        <is>
          <t>/property-to-rent/contactBranch.html?propertyId=168256523</t>
        </is>
      </c>
      <c r="L441" t="inlineStr">
        <is>
          <t>Portico, Leyton</t>
        </is>
      </c>
      <c r="M441" t="n">
        <v>247505</v>
      </c>
      <c r="N441" t="inlineStr">
        <is>
          <t>Added on 09/09/2025</t>
        </is>
      </c>
      <c r="O441" t="inlineStr">
        <is>
          <t>2025-10-16T12:37:00Z</t>
        </is>
      </c>
      <c r="Q441" t="inlineStr">
        <is>
          <t>E11</t>
        </is>
      </c>
      <c r="R441" t="inlineStr">
        <is>
          <t>2025-10-16T17:42:39.529865</t>
        </is>
      </c>
      <c r="S441" t="inlineStr">
        <is>
          <t>{'let available date': '15/11/2025', 'deposit': 'Ask agent', 'min. tenancy': 'Ask agent', 'let type': 'Long term', 'furnish type': 'Furnished', 'council tax': 'Ask agent'}</t>
        </is>
      </c>
      <c r="V441" t="b">
        <v>1</v>
      </c>
      <c r="X441" t="n">
        <v>13.87</v>
      </c>
      <c r="Y441" t="n">
        <v>45.6</v>
      </c>
      <c r="Z441">
        <f>IF(AND(ISNUMBER(B441), ISNUMBER(MIN(B$2:B$486)), ISNUMBER(MAX(B$2:B$486))), IF(MAX(B$2:B$486)=MIN(B$2:B$486), 50, ROUND((MAX(B$2:B$486)-B441)/(MAX(B$2:B$486)-MIN(B$2:B$486))*100, 2)), "")</f>
        <v/>
      </c>
      <c r="AA441">
        <f>IF(AND(ISNUMBER(X441), ISNUMBER(MIN(X$2:X$486)), ISNUMBER(MAX(X$2:X$486))), IF(MAX(X$2:X$486)=MIN(X$2:X$486), 50, ROUND((MAX(X$2:X$486)-X441)/(MAX(X$2:X$486)-MIN(X$2:X$486))*100, 2)), "")</f>
        <v/>
      </c>
      <c r="AB441">
        <f>IF(AND(ISNUMBER(U441), ISNUMBER(MIN(U$2:U$486)), ISNUMBER(MAX(U$2:U$486))), IF(MAX(U$2:U$486)=MIN(U$2:U$486), 50, ROUND((U441-MIN(U$2:U$486))/(MAX(U$2:U$486)-MIN(U$2:U$486))*100, 2)), "")</f>
        <v/>
      </c>
      <c r="AC441">
        <f>IF(AND(ISNUMBER(Z441), ISNUMBER(AA441), ISNUMBER(AB441)), ROUND((Z441+AA441+AB441)/3, 2), "")</f>
        <v/>
      </c>
    </row>
    <row r="442">
      <c r="A442" t="n">
        <v>166769576</v>
      </c>
      <c r="B442" t="n">
        <v>1750</v>
      </c>
      <c r="C442" t="inlineStr">
        <is>
          <t>£1,750 pcm</t>
        </is>
      </c>
      <c r="D442" t="inlineStr">
        <is>
          <t>monthly</t>
        </is>
      </c>
      <c r="E442" t="inlineStr">
        <is>
          <t>Flat</t>
        </is>
      </c>
      <c r="F442" t="n">
        <v>2</v>
      </c>
      <c r="G442" t="n">
        <v>1</v>
      </c>
      <c r="H442" t="inlineStr">
        <is>
          <t>Gateway Court, Sutton, SM1</t>
        </is>
      </c>
      <c r="I442" t="inlineStr">
        <is>
          <t>We are proud to offer this delightful 2 bedroom, 1 bathroom flat in a great location. Available to move in from 27 October 2025, this property benefits from available parking. Property is offered... ** Property Reference: 2602703 **</t>
        </is>
      </c>
      <c r="J442" t="inlineStr">
        <is>
          <t>https://www.rightmove.co.uk/properties/166769576#/?channel=RES_LET</t>
        </is>
      </c>
      <c r="K442" t="inlineStr">
        <is>
          <t>/property-to-rent/contactBranch.html?propertyId=166769576</t>
        </is>
      </c>
      <c r="L442" t="inlineStr">
        <is>
          <t>OpenRent, London</t>
        </is>
      </c>
      <c r="M442" t="n">
        <v>96668</v>
      </c>
      <c r="N442" t="inlineStr">
        <is>
          <t>Added on 09/09/2025</t>
        </is>
      </c>
      <c r="O442" t="inlineStr">
        <is>
          <t>2025-09-09T13:02:45Z</t>
        </is>
      </c>
      <c r="Q442" t="inlineStr">
        <is>
          <t>SM1</t>
        </is>
      </c>
      <c r="R442" t="inlineStr">
        <is>
          <t>2025-10-16T17:42:39.529873</t>
        </is>
      </c>
      <c r="S442" t="inlineStr">
        <is>
          <t>{'let available date': '27/10/2025', 'deposit': '£1,750', 'min. tenancy': 'Ask agent', 'let type': 'Long term', 'furnish type': 'Furnished', 'council tax': 'Ask agent'}</t>
        </is>
      </c>
      <c r="V442" t="b">
        <v>1</v>
      </c>
      <c r="X442" t="n">
        <v>19.91</v>
      </c>
      <c r="Y442" t="n">
        <v>61.4</v>
      </c>
      <c r="Z442">
        <f>IF(AND(ISNUMBER(B442), ISNUMBER(MIN(B$2:B$486)), ISNUMBER(MAX(B$2:B$486))), IF(MAX(B$2:B$486)=MIN(B$2:B$486), 50, ROUND((MAX(B$2:B$486)-B442)/(MAX(B$2:B$486)-MIN(B$2:B$486))*100, 2)), "")</f>
        <v/>
      </c>
      <c r="AA442">
        <f>IF(AND(ISNUMBER(X442), ISNUMBER(MIN(X$2:X$486)), ISNUMBER(MAX(X$2:X$486))), IF(MAX(X$2:X$486)=MIN(X$2:X$486), 50, ROUND((MAX(X$2:X$486)-X442)/(MAX(X$2:X$486)-MIN(X$2:X$486))*100, 2)), "")</f>
        <v/>
      </c>
      <c r="AB442">
        <f>IF(AND(ISNUMBER(U442), ISNUMBER(MIN(U$2:U$486)), ISNUMBER(MAX(U$2:U$486))), IF(MAX(U$2:U$486)=MIN(U$2:U$486), 50, ROUND((U442-MIN(U$2:U$486))/(MAX(U$2:U$486)-MIN(U$2:U$486))*100, 2)), "")</f>
        <v/>
      </c>
      <c r="AC442">
        <f>IF(AND(ISNUMBER(Z442), ISNUMBER(AA442), ISNUMBER(AB442)), ROUND((Z442+AA442+AB442)/3, 2), "")</f>
        <v/>
      </c>
    </row>
    <row r="443">
      <c r="A443" t="n">
        <v>166766567</v>
      </c>
      <c r="B443" t="n">
        <v>403</v>
      </c>
      <c r="C443" t="inlineStr">
        <is>
          <t>£1,746 pcm</t>
        </is>
      </c>
      <c r="D443" t="inlineStr">
        <is>
          <t>weekly</t>
        </is>
      </c>
      <c r="E443" t="inlineStr">
        <is>
          <t>Flat</t>
        </is>
      </c>
      <c r="F443" t="n">
        <v>2</v>
      </c>
      <c r="G443" t="n">
        <v>1</v>
      </c>
      <c r="H443" t="inlineStr">
        <is>
          <t>Corfton Road, Ealing</t>
        </is>
      </c>
      <c r="I443" t="inlineStr">
        <is>
          <t>This two double bedroom flat features a spacious living/dining room with plenty of natural light from floor-to-ceiling windows. The property also includes a separate kitchen, off-street parking and access to a communal garden.</t>
        </is>
      </c>
      <c r="J443" t="inlineStr">
        <is>
          <t>https://www.rightmove.co.uk/properties/166766567#/?channel=RES_LET</t>
        </is>
      </c>
      <c r="K443" t="inlineStr">
        <is>
          <t>/property-to-rent/contactBranch.html?propertyId=166766567</t>
        </is>
      </c>
      <c r="L443" t="inlineStr">
        <is>
          <t>Robertson Smith &amp; Kempson, Ealing</t>
        </is>
      </c>
      <c r="M443" t="n">
        <v>7963</v>
      </c>
      <c r="N443" t="inlineStr">
        <is>
          <t>Added on 09/09/2025</t>
        </is>
      </c>
      <c r="O443" t="inlineStr">
        <is>
          <t>2025-09-09T12:22:24Z</t>
        </is>
      </c>
      <c r="R443" t="inlineStr">
        <is>
          <t>2025-10-16T17:42:39.529880</t>
        </is>
      </c>
      <c r="S443" t="inlineStr">
        <is>
          <t>{'let available date': 'Ask agent', 'deposit': '£2,015', 'min. tenancy': 'Ask agent', 'let type': 'Long term', 'furnish type': 'Ask agent', 'council tax': 'Ask agent'}</t>
        </is>
      </c>
      <c r="V443" t="b">
        <v>1</v>
      </c>
      <c r="X443" t="n">
        <v>14.79</v>
      </c>
      <c r="Y443" t="n">
        <v>43.1</v>
      </c>
      <c r="Z443">
        <f>IF(AND(ISNUMBER(B443), ISNUMBER(MIN(B$2:B$486)), ISNUMBER(MAX(B$2:B$486))), IF(MAX(B$2:B$486)=MIN(B$2:B$486), 50, ROUND((MAX(B$2:B$486)-B443)/(MAX(B$2:B$486)-MIN(B$2:B$486))*100, 2)), "")</f>
        <v/>
      </c>
      <c r="AA443">
        <f>IF(AND(ISNUMBER(X443), ISNUMBER(MIN(X$2:X$486)), ISNUMBER(MAX(X$2:X$486))), IF(MAX(X$2:X$486)=MIN(X$2:X$486), 50, ROUND((MAX(X$2:X$486)-X443)/(MAX(X$2:X$486)-MIN(X$2:X$486))*100, 2)), "")</f>
        <v/>
      </c>
      <c r="AB443">
        <f>IF(AND(ISNUMBER(U443), ISNUMBER(MIN(U$2:U$486)), ISNUMBER(MAX(U$2:U$486))), IF(MAX(U$2:U$486)=MIN(U$2:U$486), 50, ROUND((U443-MIN(U$2:U$486))/(MAX(U$2:U$486)-MIN(U$2:U$486))*100, 2)), "")</f>
        <v/>
      </c>
      <c r="AC443">
        <f>IF(AND(ISNUMBER(Z443), ISNUMBER(AA443), ISNUMBER(AB443)), ROUND((Z443+AA443+AB443)/3, 2), "")</f>
        <v/>
      </c>
    </row>
    <row r="444">
      <c r="A444" t="n">
        <v>142214003</v>
      </c>
      <c r="B444" t="n">
        <v>1675</v>
      </c>
      <c r="C444" t="inlineStr">
        <is>
          <t>£1,675 pcm</t>
        </is>
      </c>
      <c r="D444" t="inlineStr">
        <is>
          <t>monthly</t>
        </is>
      </c>
      <c r="E444" t="inlineStr">
        <is>
          <t>Flat</t>
        </is>
      </c>
      <c r="F444" t="n">
        <v>2</v>
      </c>
      <c r="G444" t="n">
        <v>1</v>
      </c>
      <c r="H444" t="inlineStr">
        <is>
          <t>Medesenge Way, London</t>
        </is>
      </c>
      <c r="I444" t="inlineStr">
        <is>
          <t>IC Property is proud to offer to the market this excellently located TWO BEDROOM ground floor flat, located in the heart of Palmers Green, London...</t>
        </is>
      </c>
      <c r="J444" t="inlineStr">
        <is>
          <t>https://www.rightmove.co.uk/properties/142214003#/?channel=RES_LET</t>
        </is>
      </c>
      <c r="K444" t="inlineStr">
        <is>
          <t>/property-to-rent/contactBranch.html?propertyId=142214003</t>
        </is>
      </c>
      <c r="L444" t="inlineStr">
        <is>
          <t>IC Property, Edmonton</t>
        </is>
      </c>
      <c r="M444" t="n">
        <v>122323</v>
      </c>
      <c r="N444" t="inlineStr">
        <is>
          <t>Reduced on 09/09/2025</t>
        </is>
      </c>
      <c r="O444" t="inlineStr">
        <is>
          <t>2023-11-21T00:15:19Z</t>
        </is>
      </c>
      <c r="R444" t="inlineStr">
        <is>
          <t>2025-10-16T17:42:39.529889</t>
        </is>
      </c>
      <c r="S444" t="inlineStr">
        <is>
          <t>{'let available date': 'Ask agent', 'deposit': '£1,500', 'min. tenancy': 'Ask agent', 'let type': 'Long term', 'furnish type': 'Furnished or unfurnished, landlord is flexible', 'council tax': 'Ask agent'}</t>
        </is>
      </c>
      <c r="V444" t="b">
        <v>1</v>
      </c>
      <c r="X444" t="n">
        <v>13.87</v>
      </c>
      <c r="Y444" t="n">
        <v>50.4</v>
      </c>
      <c r="Z444">
        <f>IF(AND(ISNUMBER(B444), ISNUMBER(MIN(B$2:B$486)), ISNUMBER(MAX(B$2:B$486))), IF(MAX(B$2:B$486)=MIN(B$2:B$486), 50, ROUND((MAX(B$2:B$486)-B444)/(MAX(B$2:B$486)-MIN(B$2:B$486))*100, 2)), "")</f>
        <v/>
      </c>
      <c r="AA444">
        <f>IF(AND(ISNUMBER(X444), ISNUMBER(MIN(X$2:X$486)), ISNUMBER(MAX(X$2:X$486))), IF(MAX(X$2:X$486)=MIN(X$2:X$486), 50, ROUND((MAX(X$2:X$486)-X444)/(MAX(X$2:X$486)-MIN(X$2:X$486))*100, 2)), "")</f>
        <v/>
      </c>
      <c r="AB444">
        <f>IF(AND(ISNUMBER(U444), ISNUMBER(MIN(U$2:U$486)), ISNUMBER(MAX(U$2:U$486))), IF(MAX(U$2:U$486)=MIN(U$2:U$486), 50, ROUND((U444-MIN(U$2:U$486))/(MAX(U$2:U$486)-MIN(U$2:U$486))*100, 2)), "")</f>
        <v/>
      </c>
      <c r="AC444">
        <f>IF(AND(ISNUMBER(Z444), ISNUMBER(AA444), ISNUMBER(AB444)), ROUND((Z444+AA444+AB444)/3, 2), "")</f>
        <v/>
      </c>
    </row>
    <row r="445">
      <c r="A445" t="n">
        <v>166722380</v>
      </c>
      <c r="B445" t="n">
        <v>1675</v>
      </c>
      <c r="C445" t="inlineStr">
        <is>
          <t>£1,675 pcm</t>
        </is>
      </c>
      <c r="D445" t="inlineStr">
        <is>
          <t>monthly</t>
        </is>
      </c>
      <c r="E445" t="inlineStr">
        <is>
          <t>Ground Flat</t>
        </is>
      </c>
      <c r="F445" t="n">
        <v>2</v>
      </c>
      <c r="G445" t="n">
        <v>1</v>
      </c>
      <c r="H445" t="inlineStr">
        <is>
          <t>Medesenge Way, Palmers Green, N13</t>
        </is>
      </c>
      <c r="I445" t="inlineStr">
        <is>
          <t>A two-bedroom ground floor flat, also comprising a three-piece bathroom suite, a separate living room and a generously sized kitchen with modern fitted appliances complemented by neutral and contemporary décor throughout. The property is ideally located close to Palmers Green station, boasting e...</t>
        </is>
      </c>
      <c r="J445" t="inlineStr">
        <is>
          <t>https://www.rightmove.co.uk/properties/166722380#/?channel=RES_LET</t>
        </is>
      </c>
      <c r="K445" t="inlineStr">
        <is>
          <t>/property-to-rent/contactBranch.html?propertyId=166722380</t>
        </is>
      </c>
      <c r="L445" t="inlineStr">
        <is>
          <t>Castles Estate Agents, Edmonton - Lettings</t>
        </is>
      </c>
      <c r="M445" t="n">
        <v>125137</v>
      </c>
      <c r="N445" t="inlineStr">
        <is>
          <t>Added on 08/09/2025</t>
        </is>
      </c>
      <c r="O445" t="inlineStr">
        <is>
          <t>2025-09-08T13:50:03Z</t>
        </is>
      </c>
      <c r="Q445" t="inlineStr">
        <is>
          <t>N13</t>
        </is>
      </c>
      <c r="R445" t="inlineStr">
        <is>
          <t>2025-10-16T17:42:39.529894</t>
        </is>
      </c>
      <c r="S445" t="inlineStr">
        <is>
          <t>{'let available date': 'Now', 'deposit': '£1,961', 'min. tenancy': 'Ask agent', 'let type': 'Long term', 'furnish type': 'Unfurnished', 'council tax': 'Ask agent'}</t>
        </is>
      </c>
      <c r="V445" t="b">
        <v>1</v>
      </c>
      <c r="X445" t="n">
        <v>18.01</v>
      </c>
      <c r="Y445" t="n">
        <v>52</v>
      </c>
      <c r="Z445">
        <f>IF(AND(ISNUMBER(B445), ISNUMBER(MIN(B$2:B$486)), ISNUMBER(MAX(B$2:B$486))), IF(MAX(B$2:B$486)=MIN(B$2:B$486), 50, ROUND((MAX(B$2:B$486)-B445)/(MAX(B$2:B$486)-MIN(B$2:B$486))*100, 2)), "")</f>
        <v/>
      </c>
      <c r="AA445">
        <f>IF(AND(ISNUMBER(X445), ISNUMBER(MIN(X$2:X$486)), ISNUMBER(MAX(X$2:X$486))), IF(MAX(X$2:X$486)=MIN(X$2:X$486), 50, ROUND((MAX(X$2:X$486)-X445)/(MAX(X$2:X$486)-MIN(X$2:X$486))*100, 2)), "")</f>
        <v/>
      </c>
      <c r="AB445">
        <f>IF(AND(ISNUMBER(U445), ISNUMBER(MIN(U$2:U$486)), ISNUMBER(MAX(U$2:U$486))), IF(MAX(U$2:U$486)=MIN(U$2:U$486), 50, ROUND((U445-MIN(U$2:U$486))/(MAX(U$2:U$486)-MIN(U$2:U$486))*100, 2)), "")</f>
        <v/>
      </c>
      <c r="AC445">
        <f>IF(AND(ISNUMBER(Z445), ISNUMBER(AA445), ISNUMBER(AB445)), ROUND((Z445+AA445+AB445)/3, 2), "")</f>
        <v/>
      </c>
    </row>
    <row r="446">
      <c r="A446" t="n">
        <v>166716257</v>
      </c>
      <c r="B446" t="n">
        <v>1700</v>
      </c>
      <c r="C446" t="inlineStr">
        <is>
          <t>£1,700 pcm</t>
        </is>
      </c>
      <c r="D446" t="inlineStr">
        <is>
          <t>monthly</t>
        </is>
      </c>
      <c r="E446" t="inlineStr">
        <is>
          <t>Flat</t>
        </is>
      </c>
      <c r="F446" t="n">
        <v>2</v>
      </c>
      <c r="G446" t="n">
        <v>1</v>
      </c>
      <c r="H446" t="inlineStr">
        <is>
          <t>Sutton Common Road, Sutton, SM1</t>
        </is>
      </c>
      <c r="I446" t="inlineStr">
        <is>
          <t>We are proud to offer this delightful 2 BIG bedrooms, 1 bathroom 2nd floor flat in a great location. Available to move in from 6th Nov 2025. Property is offered unfurnished. Viewing highly recom... ** Property Reference: 2578462 **</t>
        </is>
      </c>
      <c r="J446" t="inlineStr">
        <is>
          <t>https://www.rightmove.co.uk/properties/166716257#/?channel=RES_LET</t>
        </is>
      </c>
      <c r="K446" t="inlineStr">
        <is>
          <t>/property-to-rent/contactBranch.html?propertyId=166716257</t>
        </is>
      </c>
      <c r="L446" t="inlineStr">
        <is>
          <t>OpenRent, London</t>
        </is>
      </c>
      <c r="M446" t="n">
        <v>96668</v>
      </c>
      <c r="N446" t="inlineStr">
        <is>
          <t>Added on 08/09/2025</t>
        </is>
      </c>
      <c r="O446" t="inlineStr">
        <is>
          <t>2025-09-08T12:21:58Z</t>
        </is>
      </c>
      <c r="Q446" t="inlineStr">
        <is>
          <t>SM1</t>
        </is>
      </c>
      <c r="R446" t="inlineStr">
        <is>
          <t>2025-10-16T17:42:39.529901</t>
        </is>
      </c>
      <c r="S446" t="inlineStr">
        <is>
          <t>{'let available date': '06/11/2025', 'deposit': '£1,962', 'min. tenancy': 'Ask agent', 'let type': 'Long term', 'furnish type': 'Unfurnished', 'council tax': 'Ask agent'}</t>
        </is>
      </c>
      <c r="V446" t="b">
        <v>1</v>
      </c>
      <c r="X446" t="n">
        <v>19.91</v>
      </c>
      <c r="Y446" t="n">
        <v>61.4</v>
      </c>
      <c r="Z446">
        <f>IF(AND(ISNUMBER(B446), ISNUMBER(MIN(B$2:B$486)), ISNUMBER(MAX(B$2:B$486))), IF(MAX(B$2:B$486)=MIN(B$2:B$486), 50, ROUND((MAX(B$2:B$486)-B446)/(MAX(B$2:B$486)-MIN(B$2:B$486))*100, 2)), "")</f>
        <v/>
      </c>
      <c r="AA446">
        <f>IF(AND(ISNUMBER(X446), ISNUMBER(MIN(X$2:X$486)), ISNUMBER(MAX(X$2:X$486))), IF(MAX(X$2:X$486)=MIN(X$2:X$486), 50, ROUND((MAX(X$2:X$486)-X446)/(MAX(X$2:X$486)-MIN(X$2:X$486))*100, 2)), "")</f>
        <v/>
      </c>
      <c r="AB446">
        <f>IF(AND(ISNUMBER(U446), ISNUMBER(MIN(U$2:U$486)), ISNUMBER(MAX(U$2:U$486))), IF(MAX(U$2:U$486)=MIN(U$2:U$486), 50, ROUND((U446-MIN(U$2:U$486))/(MAX(U$2:U$486)-MIN(U$2:U$486))*100, 2)), "")</f>
        <v/>
      </c>
      <c r="AC446">
        <f>IF(AND(ISNUMBER(Z446), ISNUMBER(AA446), ISNUMBER(AB446)), ROUND((Z446+AA446+AB446)/3, 2), "")</f>
        <v/>
      </c>
    </row>
    <row r="447">
      <c r="A447" t="n">
        <v>166709708</v>
      </c>
      <c r="B447" t="n">
        <v>1625</v>
      </c>
      <c r="C447" t="inlineStr">
        <is>
          <t>£1,625 pcm</t>
        </is>
      </c>
      <c r="D447" t="inlineStr">
        <is>
          <t>monthly</t>
        </is>
      </c>
      <c r="E447" t="inlineStr">
        <is>
          <t>Flat</t>
        </is>
      </c>
      <c r="F447" t="n">
        <v>2</v>
      </c>
      <c r="G447" t="n">
        <v>1</v>
      </c>
      <c r="H447" t="inlineStr">
        <is>
          <t>Brent View House, North Circular Road, Golders Green, NW11</t>
        </is>
      </c>
      <c r="I447" t="inlineStr">
        <is>
          <t>Well-presented two bedroom apartment located on the fourth floor of this popular purpose built block. The property benefits from one double bedroom, one single bedroom, large reception room with open plan kitchen, family bathroom and a parking space for one car and is available now.</t>
        </is>
      </c>
      <c r="J447" t="inlineStr">
        <is>
          <t>https://www.rightmove.co.uk/properties/166709708#/?channel=RES_LET</t>
        </is>
      </c>
      <c r="K447" t="inlineStr">
        <is>
          <t>/property-to-rent/contactBranch.html?propertyId=166709708</t>
        </is>
      </c>
      <c r="L447" t="inlineStr">
        <is>
          <t>Roundtree Real Estate, London</t>
        </is>
      </c>
      <c r="M447" t="n">
        <v>46965</v>
      </c>
      <c r="N447" t="inlineStr">
        <is>
          <t>Added on 08/09/2025</t>
        </is>
      </c>
      <c r="O447" t="inlineStr">
        <is>
          <t>2025-09-08T11:05:26Z</t>
        </is>
      </c>
      <c r="Q447" t="inlineStr">
        <is>
          <t>NW11</t>
        </is>
      </c>
      <c r="R447" t="inlineStr">
        <is>
          <t>2025-10-16T17:42:39.529907</t>
        </is>
      </c>
      <c r="S447" t="inlineStr">
        <is>
          <t>{'let available date': 'Now', 'deposit': '£1,875', 'min. tenancy': 'Ask agent', 'let type': 'Long term', 'furnish type': 'Part furnished', 'council tax': 'Ask agent'}</t>
        </is>
      </c>
      <c r="V447" t="b">
        <v>1</v>
      </c>
      <c r="X447" t="n">
        <v>11.12</v>
      </c>
      <c r="Y447" t="n">
        <v>39.2</v>
      </c>
      <c r="Z447">
        <f>IF(AND(ISNUMBER(B447), ISNUMBER(MIN(B$2:B$486)), ISNUMBER(MAX(B$2:B$486))), IF(MAX(B$2:B$486)=MIN(B$2:B$486), 50, ROUND((MAX(B$2:B$486)-B447)/(MAX(B$2:B$486)-MIN(B$2:B$486))*100, 2)), "")</f>
        <v/>
      </c>
      <c r="AA447">
        <f>IF(AND(ISNUMBER(X447), ISNUMBER(MIN(X$2:X$486)), ISNUMBER(MAX(X$2:X$486))), IF(MAX(X$2:X$486)=MIN(X$2:X$486), 50, ROUND((MAX(X$2:X$486)-X447)/(MAX(X$2:X$486)-MIN(X$2:X$486))*100, 2)), "")</f>
        <v/>
      </c>
      <c r="AB447">
        <f>IF(AND(ISNUMBER(U447), ISNUMBER(MIN(U$2:U$486)), ISNUMBER(MAX(U$2:U$486))), IF(MAX(U$2:U$486)=MIN(U$2:U$486), 50, ROUND((U447-MIN(U$2:U$486))/(MAX(U$2:U$486)-MIN(U$2:U$486))*100, 2)), "")</f>
        <v/>
      </c>
      <c r="AC447">
        <f>IF(AND(ISNUMBER(Z447), ISNUMBER(AA447), ISNUMBER(AB447)), ROUND((Z447+AA447+AB447)/3, 2), "")</f>
        <v/>
      </c>
    </row>
    <row r="448">
      <c r="A448" t="n">
        <v>167970623</v>
      </c>
      <c r="B448" t="n">
        <v>1550</v>
      </c>
      <c r="C448" t="inlineStr">
        <is>
          <t>£1,550 pcm</t>
        </is>
      </c>
      <c r="D448" t="inlineStr">
        <is>
          <t>monthly</t>
        </is>
      </c>
      <c r="E448" t="inlineStr">
        <is>
          <t>Flat</t>
        </is>
      </c>
      <c r="F448" t="n">
        <v>2</v>
      </c>
      <c r="G448" t="n">
        <v>1</v>
      </c>
      <c r="H448" t="inlineStr">
        <is>
          <t>Hardcastle Close, Croydon, CR0</t>
        </is>
      </c>
      <c r="I448" t="inlineStr">
        <is>
          <t>*AVAILABLE FROM 30th September* Please note minimum tenancy duration is 11 months with further renewals available. If you would like to see the video/360 tour or a in-person viewing, please cont... ** Property Reference: 2615226 **</t>
        </is>
      </c>
      <c r="J448" t="inlineStr">
        <is>
          <t>https://www.rightmove.co.uk/properties/167970623#/?channel=RES_LET</t>
        </is>
      </c>
      <c r="K448" t="inlineStr">
        <is>
          <t>/property-to-rent/contactBranch.html?propertyId=167970623</t>
        </is>
      </c>
      <c r="L448" t="inlineStr">
        <is>
          <t>OpenRent, London</t>
        </is>
      </c>
      <c r="M448" t="n">
        <v>96668</v>
      </c>
      <c r="N448" t="inlineStr">
        <is>
          <t>Added on 06/09/2025</t>
        </is>
      </c>
      <c r="O448" t="inlineStr">
        <is>
          <t>2025-10-08T10:29:57Z</t>
        </is>
      </c>
      <c r="Q448" t="inlineStr">
        <is>
          <t>CR0</t>
        </is>
      </c>
      <c r="R448" t="inlineStr">
        <is>
          <t>2025-10-16T17:42:39.529914</t>
        </is>
      </c>
      <c r="S448" t="inlineStr">
        <is>
          <t>{'let available date': 'Now', 'deposit': '£1,550', 'min. tenancy': 'Ask agent', 'let type': 'Long term', 'furnish type': 'Furnished', 'council tax': 'Ask agent'}</t>
        </is>
      </c>
      <c r="V448" t="b">
        <v>1</v>
      </c>
      <c r="X448" t="n">
        <v>21.98</v>
      </c>
      <c r="Y448" t="n">
        <v>61.8</v>
      </c>
      <c r="Z448">
        <f>IF(AND(ISNUMBER(B448), ISNUMBER(MIN(B$2:B$486)), ISNUMBER(MAX(B$2:B$486))), IF(MAX(B$2:B$486)=MIN(B$2:B$486), 50, ROUND((MAX(B$2:B$486)-B448)/(MAX(B$2:B$486)-MIN(B$2:B$486))*100, 2)), "")</f>
        <v/>
      </c>
      <c r="AA448">
        <f>IF(AND(ISNUMBER(X448), ISNUMBER(MIN(X$2:X$486)), ISNUMBER(MAX(X$2:X$486))), IF(MAX(X$2:X$486)=MIN(X$2:X$486), 50, ROUND((MAX(X$2:X$486)-X448)/(MAX(X$2:X$486)-MIN(X$2:X$486))*100, 2)), "")</f>
        <v/>
      </c>
      <c r="AB448">
        <f>IF(AND(ISNUMBER(U448), ISNUMBER(MIN(U$2:U$486)), ISNUMBER(MAX(U$2:U$486))), IF(MAX(U$2:U$486)=MIN(U$2:U$486), 50, ROUND((U448-MIN(U$2:U$486))/(MAX(U$2:U$486)-MIN(U$2:U$486))*100, 2)), "")</f>
        <v/>
      </c>
      <c r="AC448">
        <f>IF(AND(ISNUMBER(Z448), ISNUMBER(AA448), ISNUMBER(AB448)), ROUND((Z448+AA448+AB448)/3, 2), "")</f>
        <v/>
      </c>
    </row>
    <row r="449">
      <c r="A449" t="n">
        <v>166602275</v>
      </c>
      <c r="B449" t="n">
        <v>1700</v>
      </c>
      <c r="C449" t="inlineStr">
        <is>
          <t>£1,700 pcm</t>
        </is>
      </c>
      <c r="D449" t="inlineStr">
        <is>
          <t>monthly</t>
        </is>
      </c>
      <c r="E449" t="inlineStr">
        <is>
          <t>Flat</t>
        </is>
      </c>
      <c r="F449" t="n">
        <v>2</v>
      </c>
      <c r="G449" t="n">
        <v>1</v>
      </c>
      <c r="H449" t="inlineStr">
        <is>
          <t>Princess Alice Way, London, SE28</t>
        </is>
      </c>
      <c r="I449" t="inlineStr">
        <is>
          <t>We are proud to offer this delightful 2 bedroom, 1 bathroom flat in a great location. Available to move in from 13 September 2025, this property benefits from available parking, and garden access... ** Property Reference: 2584504 **</t>
        </is>
      </c>
      <c r="J449" t="inlineStr">
        <is>
          <t>https://www.rightmove.co.uk/properties/166602275#/?channel=RES_LET</t>
        </is>
      </c>
      <c r="K449" t="inlineStr">
        <is>
          <t>/property-to-rent/contactBranch.html?propertyId=166602275</t>
        </is>
      </c>
      <c r="L449" t="inlineStr">
        <is>
          <t>OpenRent, London</t>
        </is>
      </c>
      <c r="M449" t="n">
        <v>96668</v>
      </c>
      <c r="N449" t="inlineStr">
        <is>
          <t>Added on 04/09/2025</t>
        </is>
      </c>
      <c r="O449" t="inlineStr">
        <is>
          <t>2025-09-04T17:10:09Z</t>
        </is>
      </c>
      <c r="Q449" t="inlineStr">
        <is>
          <t>SE28</t>
        </is>
      </c>
      <c r="R449" t="inlineStr">
        <is>
          <t>2025-10-16T17:42:39.529921</t>
        </is>
      </c>
      <c r="S449" t="inlineStr">
        <is>
          <t>{'let available date': 'Now', 'deposit': '£1,962', 'min. tenancy': 'Ask agent', 'let type': 'Long term', 'furnish type': 'Furnished or unfurnished, landlord is flexible', 'council tax': 'Ask agent'}</t>
        </is>
      </c>
      <c r="V449" t="b">
        <v>1</v>
      </c>
      <c r="X449" t="n">
        <v>23.84</v>
      </c>
      <c r="Y449" t="n">
        <v>60</v>
      </c>
      <c r="Z449">
        <f>IF(AND(ISNUMBER(B449), ISNUMBER(MIN(B$2:B$486)), ISNUMBER(MAX(B$2:B$486))), IF(MAX(B$2:B$486)=MIN(B$2:B$486), 50, ROUND((MAX(B$2:B$486)-B449)/(MAX(B$2:B$486)-MIN(B$2:B$486))*100, 2)), "")</f>
        <v/>
      </c>
      <c r="AA449">
        <f>IF(AND(ISNUMBER(X449), ISNUMBER(MIN(X$2:X$486)), ISNUMBER(MAX(X$2:X$486))), IF(MAX(X$2:X$486)=MIN(X$2:X$486), 50, ROUND((MAX(X$2:X$486)-X449)/(MAX(X$2:X$486)-MIN(X$2:X$486))*100, 2)), "")</f>
        <v/>
      </c>
      <c r="AB449">
        <f>IF(AND(ISNUMBER(U449), ISNUMBER(MIN(U$2:U$486)), ISNUMBER(MAX(U$2:U$486))), IF(MAX(U$2:U$486)=MIN(U$2:U$486), 50, ROUND((U449-MIN(U$2:U$486))/(MAX(U$2:U$486)-MIN(U$2:U$486))*100, 2)), "")</f>
        <v/>
      </c>
      <c r="AC449">
        <f>IF(AND(ISNUMBER(Z449), ISNUMBER(AA449), ISNUMBER(AB449)), ROUND((Z449+AA449+AB449)/3, 2), "")</f>
        <v/>
      </c>
    </row>
    <row r="450">
      <c r="A450" t="n">
        <v>166330901</v>
      </c>
      <c r="B450" t="n">
        <v>1700</v>
      </c>
      <c r="C450" t="inlineStr">
        <is>
          <t>£1,700 pcm</t>
        </is>
      </c>
      <c r="D450" t="inlineStr">
        <is>
          <t>monthly</t>
        </is>
      </c>
      <c r="E450" t="inlineStr">
        <is>
          <t>Flat</t>
        </is>
      </c>
      <c r="F450" t="n">
        <v>2</v>
      </c>
      <c r="G450" t="n">
        <v>1</v>
      </c>
      <c r="H450" t="inlineStr">
        <is>
          <t>London Road, London, SW16</t>
        </is>
      </c>
      <c r="I450" t="inlineStr">
        <is>
          <t>We are proud to offer this delightful 2 bedroom, 1 bathroom flat in a great location. Available to move in from 18 October 2025. Property is offered furnished or unfurnished (tenant can decide).... ** Property Reference: 2597434 **</t>
        </is>
      </c>
      <c r="J450" t="inlineStr">
        <is>
          <t>https://www.rightmove.co.uk/properties/166330901#/?channel=RES_LET</t>
        </is>
      </c>
      <c r="K450" t="inlineStr">
        <is>
          <t>/property-to-rent/contactBranch.html?propertyId=166330901</t>
        </is>
      </c>
      <c r="L450" t="inlineStr">
        <is>
          <t>OpenRent, London</t>
        </is>
      </c>
      <c r="M450" t="n">
        <v>96668</v>
      </c>
      <c r="N450" t="inlineStr">
        <is>
          <t>Reduced on 03/09/2025</t>
        </is>
      </c>
      <c r="O450" t="inlineStr">
        <is>
          <t>2025-08-28T19:04:40Z</t>
        </is>
      </c>
      <c r="Q450" t="inlineStr">
        <is>
          <t>SW16</t>
        </is>
      </c>
      <c r="R450" t="inlineStr">
        <is>
          <t>2025-10-16T17:42:39.529928</t>
        </is>
      </c>
      <c r="S450" t="inlineStr">
        <is>
          <t>{'let available date': '18/10/2025', 'deposit': '£1,962', 'min. tenancy': 'Ask agent', 'let type': 'Long term', 'furnish type': 'Furnished or unfurnished, landlord is flexible', 'council tax': 'Ask agent'}</t>
        </is>
      </c>
      <c r="V450" t="b">
        <v>1</v>
      </c>
      <c r="X450" t="n">
        <v>12.65</v>
      </c>
      <c r="Y450" t="n">
        <v>45.8</v>
      </c>
      <c r="Z450">
        <f>IF(AND(ISNUMBER(B450), ISNUMBER(MIN(B$2:B$486)), ISNUMBER(MAX(B$2:B$486))), IF(MAX(B$2:B$486)=MIN(B$2:B$486), 50, ROUND((MAX(B$2:B$486)-B450)/(MAX(B$2:B$486)-MIN(B$2:B$486))*100, 2)), "")</f>
        <v/>
      </c>
      <c r="AA450">
        <f>IF(AND(ISNUMBER(X450), ISNUMBER(MIN(X$2:X$486)), ISNUMBER(MAX(X$2:X$486))), IF(MAX(X$2:X$486)=MIN(X$2:X$486), 50, ROUND((MAX(X$2:X$486)-X450)/(MAX(X$2:X$486)-MIN(X$2:X$486))*100, 2)), "")</f>
        <v/>
      </c>
      <c r="AB450">
        <f>IF(AND(ISNUMBER(U450), ISNUMBER(MIN(U$2:U$486)), ISNUMBER(MAX(U$2:U$486))), IF(MAX(U$2:U$486)=MIN(U$2:U$486), 50, ROUND((U450-MIN(U$2:U$486))/(MAX(U$2:U$486)-MIN(U$2:U$486))*100, 2)), "")</f>
        <v/>
      </c>
      <c r="AC450">
        <f>IF(AND(ISNUMBER(Z450), ISNUMBER(AA450), ISNUMBER(AB450)), ROUND((Z450+AA450+AB450)/3, 2), "")</f>
        <v/>
      </c>
    </row>
    <row r="451">
      <c r="A451" t="n">
        <v>166296311</v>
      </c>
      <c r="B451" t="n">
        <v>1650</v>
      </c>
      <c r="C451" t="inlineStr">
        <is>
          <t>£1,650 pcm</t>
        </is>
      </c>
      <c r="D451" t="inlineStr">
        <is>
          <t>monthly</t>
        </is>
      </c>
      <c r="E451" t="inlineStr">
        <is>
          <t>Flat</t>
        </is>
      </c>
      <c r="F451" t="n">
        <v>2</v>
      </c>
      <c r="G451" t="n">
        <v>1</v>
      </c>
      <c r="H451" t="inlineStr">
        <is>
          <t>Northfield Avenue, London, W13</t>
        </is>
      </c>
      <c r="I451" t="inlineStr">
        <is>
          <t>London Homes are proud to present this two double bedroom ground floor flat. The flat has a good size shower room in between the main room and the first bedroom.</t>
        </is>
      </c>
      <c r="J451" t="inlineStr">
        <is>
          <t>https://www.rightmove.co.uk/properties/166296311#/?channel=RES_LET</t>
        </is>
      </c>
      <c r="K451" t="inlineStr">
        <is>
          <t>/property-to-rent/contactBranch.html?propertyId=166296311</t>
        </is>
      </c>
      <c r="L451" t="inlineStr">
        <is>
          <t>London Homes Residential Ltd, Ealing</t>
        </is>
      </c>
      <c r="M451" t="n">
        <v>162716</v>
      </c>
      <c r="N451" t="inlineStr">
        <is>
          <t>Reduced on 03/09/2025</t>
        </is>
      </c>
      <c r="O451" t="inlineStr">
        <is>
          <t>2025-08-28T10:34:37Z</t>
        </is>
      </c>
      <c r="Q451" t="inlineStr">
        <is>
          <t>W13</t>
        </is>
      </c>
      <c r="R451" t="inlineStr">
        <is>
          <t>2025-10-16T17:42:39.529934</t>
        </is>
      </c>
      <c r="S451" t="inlineStr">
        <is>
          <t>{'let available date': 'Now', 'deposit': '£1,903', 'min. tenancy': 'Ask agent', 'let type': 'Long term', 'furnish type': 'Part furnished', 'council tax': 'Ask agent'}</t>
        </is>
      </c>
      <c r="V451" t="b">
        <v>1</v>
      </c>
      <c r="X451" t="n">
        <v>16.32</v>
      </c>
      <c r="Y451" t="n">
        <v>47.4</v>
      </c>
      <c r="Z451">
        <f>IF(AND(ISNUMBER(B451), ISNUMBER(MIN(B$2:B$486)), ISNUMBER(MAX(B$2:B$486))), IF(MAX(B$2:B$486)=MIN(B$2:B$486), 50, ROUND((MAX(B$2:B$486)-B451)/(MAX(B$2:B$486)-MIN(B$2:B$486))*100, 2)), "")</f>
        <v/>
      </c>
      <c r="AA451">
        <f>IF(AND(ISNUMBER(X451), ISNUMBER(MIN(X$2:X$486)), ISNUMBER(MAX(X$2:X$486))), IF(MAX(X$2:X$486)=MIN(X$2:X$486), 50, ROUND((MAX(X$2:X$486)-X451)/(MAX(X$2:X$486)-MIN(X$2:X$486))*100, 2)), "")</f>
        <v/>
      </c>
      <c r="AB451">
        <f>IF(AND(ISNUMBER(U451), ISNUMBER(MIN(U$2:U$486)), ISNUMBER(MAX(U$2:U$486))), IF(MAX(U$2:U$486)=MIN(U$2:U$486), 50, ROUND((U451-MIN(U$2:U$486))/(MAX(U$2:U$486)-MIN(U$2:U$486))*100, 2)), "")</f>
        <v/>
      </c>
      <c r="AC451">
        <f>IF(AND(ISNUMBER(Z451), ISNUMBER(AA451), ISNUMBER(AB451)), ROUND((Z451+AA451+AB451)/3, 2), "")</f>
        <v/>
      </c>
    </row>
    <row r="452">
      <c r="A452" t="n">
        <v>167083946</v>
      </c>
      <c r="B452" t="n">
        <v>1750</v>
      </c>
      <c r="C452" t="inlineStr">
        <is>
          <t>£1,750 pcm</t>
        </is>
      </c>
      <c r="D452" t="inlineStr">
        <is>
          <t>monthly</t>
        </is>
      </c>
      <c r="E452" t="inlineStr">
        <is>
          <t>Flat</t>
        </is>
      </c>
      <c r="F452" t="n">
        <v>2</v>
      </c>
      <c r="G452" t="n">
        <v>1</v>
      </c>
      <c r="H452" t="inlineStr">
        <is>
          <t>Morton Road, Stratford, London, E15</t>
        </is>
      </c>
      <c r="I452" t="inlineStr">
        <is>
          <t>LONG LET. Set over 2 spacious floors this fantastic 2 bedroom flat offers a spacious and naturally bright reception room with a large kitchen offering ample space to dine and features a smart bathroom.</t>
        </is>
      </c>
      <c r="J452" t="inlineStr">
        <is>
          <t>https://www.rightmove.co.uk/properties/167083946#/?channel=RES_LET</t>
        </is>
      </c>
      <c r="K452" t="inlineStr">
        <is>
          <t>/property-to-rent/contactBranch.html?propertyId=167083946</t>
        </is>
      </c>
      <c r="L452" t="inlineStr">
        <is>
          <t>Foxtons, Stratford</t>
        </is>
      </c>
      <c r="M452" t="n">
        <v>80281</v>
      </c>
      <c r="N452" t="inlineStr">
        <is>
          <t>Added on 03/09/2025</t>
        </is>
      </c>
      <c r="O452" t="inlineStr">
        <is>
          <t>2025-09-17T10:44:03Z</t>
        </is>
      </c>
      <c r="Q452" t="inlineStr">
        <is>
          <t>E15</t>
        </is>
      </c>
      <c r="R452" t="inlineStr">
        <is>
          <t>2025-10-16T17:42:39.529942</t>
        </is>
      </c>
      <c r="S452" t="inlineStr">
        <is>
          <t>{'let available date': 'Ask agent', 'deposit': '£2,020', 'min. tenancy': 'Ask agent', 'let type': 'Long term', 'furnish type': 'Unfurnished', 'council tax': 'Ask agent'}</t>
        </is>
      </c>
      <c r="T452" t="n">
        <v>662</v>
      </c>
      <c r="U452" t="n">
        <v>62</v>
      </c>
      <c r="V452" t="b">
        <v>1</v>
      </c>
      <c r="X452" t="n">
        <v>11.5</v>
      </c>
      <c r="Y452" t="n">
        <v>47.3</v>
      </c>
      <c r="Z452">
        <f>IF(AND(ISNUMBER(B452), ISNUMBER(MIN(B$2:B$486)), ISNUMBER(MAX(B$2:B$486))), IF(MAX(B$2:B$486)=MIN(B$2:B$486), 50, ROUND((MAX(B$2:B$486)-B452)/(MAX(B$2:B$486)-MIN(B$2:B$486))*100, 2)), "")</f>
        <v/>
      </c>
      <c r="AA452">
        <f>IF(AND(ISNUMBER(X452), ISNUMBER(MIN(X$2:X$486)), ISNUMBER(MAX(X$2:X$486))), IF(MAX(X$2:X$486)=MIN(X$2:X$486), 50, ROUND((MAX(X$2:X$486)-X452)/(MAX(X$2:X$486)-MIN(X$2:X$486))*100, 2)), "")</f>
        <v/>
      </c>
      <c r="AB452">
        <f>IF(AND(ISNUMBER(U452), ISNUMBER(MIN(U$2:U$486)), ISNUMBER(MAX(U$2:U$486))), IF(MAX(U$2:U$486)=MIN(U$2:U$486), 50, ROUND((U452-MIN(U$2:U$486))/(MAX(U$2:U$486)-MIN(U$2:U$486))*100, 2)), "")</f>
        <v/>
      </c>
      <c r="AC452">
        <f>IF(AND(ISNUMBER(Z452), ISNUMBER(AA452), ISNUMBER(AB452)), ROUND((Z452+AA452+AB452)/3, 2), "")</f>
        <v/>
      </c>
    </row>
    <row r="453">
      <c r="A453" t="n">
        <v>166543898</v>
      </c>
      <c r="B453" t="n">
        <v>1675</v>
      </c>
      <c r="C453" t="inlineStr">
        <is>
          <t>£1,675 pcm</t>
        </is>
      </c>
      <c r="D453" t="inlineStr">
        <is>
          <t>monthly</t>
        </is>
      </c>
      <c r="E453" t="inlineStr">
        <is>
          <t>Apartment</t>
        </is>
      </c>
      <c r="F453" t="n">
        <v>2</v>
      </c>
      <c r="G453" t="n">
        <v>1</v>
      </c>
      <c r="H453" t="inlineStr">
        <is>
          <t>Felixstowe Court, E16</t>
        </is>
      </c>
      <c r="I453" t="inlineStr">
        <is>
          <t>Available to move into October is this well second floor presented two bedroom apartment located in the sought after Galleons Lock development and within walking distance of Galleons Reach and King George V DLR station. Internally the property boasts two double bedrooms, a spacious living room, s...</t>
        </is>
      </c>
      <c r="J453" t="inlineStr">
        <is>
          <t>https://www.rightmove.co.uk/properties/166543898#/?channel=RES_LET</t>
        </is>
      </c>
      <c r="K453" t="inlineStr">
        <is>
          <t>/property-to-rent/contactBranch.html?propertyId=166543898</t>
        </is>
      </c>
      <c r="L453" t="inlineStr">
        <is>
          <t>Spencer James Residential, London</t>
        </is>
      </c>
      <c r="M453" t="n">
        <v>283697</v>
      </c>
      <c r="N453" t="inlineStr">
        <is>
          <t>Added on 03/09/2025</t>
        </is>
      </c>
      <c r="O453" t="inlineStr">
        <is>
          <t>2025-09-03T15:13:02Z</t>
        </is>
      </c>
      <c r="Q453" t="inlineStr">
        <is>
          <t>E16</t>
        </is>
      </c>
      <c r="R453" t="inlineStr">
        <is>
          <t>2025-10-16T17:42:39.529949</t>
        </is>
      </c>
      <c r="S453" t="inlineStr">
        <is>
          <t>{'let available date': '25/10/2025', 'deposit': 'Ask agent', 'min. tenancy': 'Ask agent', 'let type': 'Long term', 'furnish type': 'Furnished', 'council tax': 'Ask agent'}</t>
        </is>
      </c>
      <c r="V453" t="b">
        <v>1</v>
      </c>
      <c r="X453" t="n">
        <v>13.78</v>
      </c>
      <c r="Y453" t="n">
        <v>40.4</v>
      </c>
      <c r="Z453">
        <f>IF(AND(ISNUMBER(B453), ISNUMBER(MIN(B$2:B$486)), ISNUMBER(MAX(B$2:B$486))), IF(MAX(B$2:B$486)=MIN(B$2:B$486), 50, ROUND((MAX(B$2:B$486)-B453)/(MAX(B$2:B$486)-MIN(B$2:B$486))*100, 2)), "")</f>
        <v/>
      </c>
      <c r="AA453">
        <f>IF(AND(ISNUMBER(X453), ISNUMBER(MIN(X$2:X$486)), ISNUMBER(MAX(X$2:X$486))), IF(MAX(X$2:X$486)=MIN(X$2:X$486), 50, ROUND((MAX(X$2:X$486)-X453)/(MAX(X$2:X$486)-MIN(X$2:X$486))*100, 2)), "")</f>
        <v/>
      </c>
      <c r="AB453">
        <f>IF(AND(ISNUMBER(U453), ISNUMBER(MIN(U$2:U$486)), ISNUMBER(MAX(U$2:U$486))), IF(MAX(U$2:U$486)=MIN(U$2:U$486), 50, ROUND((U453-MIN(U$2:U$486))/(MAX(U$2:U$486)-MIN(U$2:U$486))*100, 2)), "")</f>
        <v/>
      </c>
      <c r="AC453">
        <f>IF(AND(ISNUMBER(Z453), ISNUMBER(AA453), ISNUMBER(AB453)), ROUND((Z453+AA453+AB453)/3, 2), "")</f>
        <v/>
      </c>
    </row>
    <row r="454">
      <c r="A454" t="n">
        <v>168220988</v>
      </c>
      <c r="B454" t="n">
        <v>1750</v>
      </c>
      <c r="C454" t="inlineStr">
        <is>
          <t>£1,750 pcm</t>
        </is>
      </c>
      <c r="D454" t="inlineStr">
        <is>
          <t>monthly</t>
        </is>
      </c>
      <c r="E454" t="inlineStr">
        <is>
          <t>Apartment</t>
        </is>
      </c>
      <c r="F454" t="n">
        <v>2</v>
      </c>
      <c r="G454" t="n">
        <v>1</v>
      </c>
      <c r="H454" t="inlineStr">
        <is>
          <t>Grange View Road, Whetstone, N20</t>
        </is>
      </c>
      <c r="I454" t="inlineStr">
        <is>
          <t>Discover this delightful first-floor, two-bedroom purpose-built apartment, ideally situated close to Whetstone High Road with its array of cafés, restaurants, and local amenities. Perfect for commuters, Totteridge &amp; Whetstone Tube Station is just moments away, offering excellent transport links i...</t>
        </is>
      </c>
      <c r="J454" t="inlineStr">
        <is>
          <t>https://www.rightmove.co.uk/properties/168220988#/?channel=RES_LET</t>
        </is>
      </c>
      <c r="K454" t="inlineStr">
        <is>
          <t>/property-to-rent/contactBranch.html?propertyId=168220988</t>
        </is>
      </c>
      <c r="L454" t="inlineStr">
        <is>
          <t>Adam Hayes Estate Agents, North Finchley, N12</t>
        </is>
      </c>
      <c r="M454" t="n">
        <v>82115</v>
      </c>
      <c r="N454" t="inlineStr">
        <is>
          <t>Reduced on 03/09/2025</t>
        </is>
      </c>
      <c r="O454" t="inlineStr">
        <is>
          <t>2025-10-15T16:39:49Z</t>
        </is>
      </c>
      <c r="Q454" t="inlineStr">
        <is>
          <t>N20</t>
        </is>
      </c>
      <c r="R454" t="inlineStr">
        <is>
          <t>2025-10-16T17:42:39.529956</t>
        </is>
      </c>
      <c r="S454" t="inlineStr">
        <is>
          <t>{'let available date': 'Now', 'deposit': '£2,019', 'min. tenancy': 'Ask agent', 'let type': 'Long term', 'furnish type': 'Unfurnished', 'council tax': 'Ask agent'}</t>
        </is>
      </c>
      <c r="V454" t="b">
        <v>1</v>
      </c>
      <c r="X454" t="n">
        <v>21.85</v>
      </c>
      <c r="Y454" t="n">
        <v>53.5</v>
      </c>
      <c r="Z454">
        <f>IF(AND(ISNUMBER(B454), ISNUMBER(MIN(B$2:B$486)), ISNUMBER(MAX(B$2:B$486))), IF(MAX(B$2:B$486)=MIN(B$2:B$486), 50, ROUND((MAX(B$2:B$486)-B454)/(MAX(B$2:B$486)-MIN(B$2:B$486))*100, 2)), "")</f>
        <v/>
      </c>
      <c r="AA454">
        <f>IF(AND(ISNUMBER(X454), ISNUMBER(MIN(X$2:X$486)), ISNUMBER(MAX(X$2:X$486))), IF(MAX(X$2:X$486)=MIN(X$2:X$486), 50, ROUND((MAX(X$2:X$486)-X454)/(MAX(X$2:X$486)-MIN(X$2:X$486))*100, 2)), "")</f>
        <v/>
      </c>
      <c r="AB454">
        <f>IF(AND(ISNUMBER(U454), ISNUMBER(MIN(U$2:U$486)), ISNUMBER(MAX(U$2:U$486))), IF(MAX(U$2:U$486)=MIN(U$2:U$486), 50, ROUND((U454-MIN(U$2:U$486))/(MAX(U$2:U$486)-MIN(U$2:U$486))*100, 2)), "")</f>
        <v/>
      </c>
      <c r="AC454">
        <f>IF(AND(ISNUMBER(Z454), ISNUMBER(AA454), ISNUMBER(AB454)), ROUND((Z454+AA454+AB454)/3, 2), "")</f>
        <v/>
      </c>
    </row>
    <row r="455">
      <c r="A455" t="n">
        <v>166488317</v>
      </c>
      <c r="B455" t="n">
        <v>1550</v>
      </c>
      <c r="C455" t="inlineStr">
        <is>
          <t>£1,550 pcm</t>
        </is>
      </c>
      <c r="D455" t="inlineStr">
        <is>
          <t>monthly</t>
        </is>
      </c>
      <c r="E455" t="inlineStr">
        <is>
          <t>Flat</t>
        </is>
      </c>
      <c r="F455" t="n">
        <v>2</v>
      </c>
      <c r="G455" t="n">
        <v>1</v>
      </c>
      <c r="H455" t="inlineStr">
        <is>
          <t>Foxglove Way, Wallington, SM6</t>
        </is>
      </c>
      <c r="I455" t="inlineStr">
        <is>
          <t xml:space="preserve">A spacious two bedroom flat located in Foxglove Way, Hackbridge. </t>
        </is>
      </c>
      <c r="J455" t="inlineStr">
        <is>
          <t>https://www.rightmove.co.uk/properties/166488317#/?channel=RES_LET</t>
        </is>
      </c>
      <c r="K455" t="inlineStr">
        <is>
          <t>/property-to-rent/contactBranch.html?propertyId=166488317</t>
        </is>
      </c>
      <c r="L455" t="inlineStr">
        <is>
          <t>Your Move, Wallington</t>
        </is>
      </c>
      <c r="M455" t="n">
        <v>53480</v>
      </c>
      <c r="N455" t="inlineStr">
        <is>
          <t>Added on 02/09/2025</t>
        </is>
      </c>
      <c r="O455" t="inlineStr">
        <is>
          <t>2025-09-02T13:37:38Z</t>
        </is>
      </c>
      <c r="Q455" t="inlineStr">
        <is>
          <t>SM6</t>
        </is>
      </c>
      <c r="R455" t="inlineStr">
        <is>
          <t>2025-10-16T17:42:39.529962</t>
        </is>
      </c>
      <c r="S455" t="inlineStr">
        <is>
          <t>{'let available date': 'Now', 'deposit': '£1,788', 'min. tenancy': 'Ask agent', 'let type': 'Long term', 'furnish type': 'Unfurnished', 'council tax': 'Ask agent'}</t>
        </is>
      </c>
      <c r="V455" t="b">
        <v>1</v>
      </c>
      <c r="X455" t="n">
        <v>20.45</v>
      </c>
      <c r="Y455" t="n">
        <v>64.59999999999999</v>
      </c>
      <c r="Z455">
        <f>IF(AND(ISNUMBER(B455), ISNUMBER(MIN(B$2:B$486)), ISNUMBER(MAX(B$2:B$486))), IF(MAX(B$2:B$486)=MIN(B$2:B$486), 50, ROUND((MAX(B$2:B$486)-B455)/(MAX(B$2:B$486)-MIN(B$2:B$486))*100, 2)), "")</f>
        <v/>
      </c>
      <c r="AA455">
        <f>IF(AND(ISNUMBER(X455), ISNUMBER(MIN(X$2:X$486)), ISNUMBER(MAX(X$2:X$486))), IF(MAX(X$2:X$486)=MIN(X$2:X$486), 50, ROUND((MAX(X$2:X$486)-X455)/(MAX(X$2:X$486)-MIN(X$2:X$486))*100, 2)), "")</f>
        <v/>
      </c>
      <c r="AB455">
        <f>IF(AND(ISNUMBER(U455), ISNUMBER(MIN(U$2:U$486)), ISNUMBER(MAX(U$2:U$486))), IF(MAX(U$2:U$486)=MIN(U$2:U$486), 50, ROUND((U455-MIN(U$2:U$486))/(MAX(U$2:U$486)-MIN(U$2:U$486))*100, 2)), "")</f>
        <v/>
      </c>
      <c r="AC455">
        <f>IF(AND(ISNUMBER(Z455), ISNUMBER(AA455), ISNUMBER(AB455)), ROUND((Z455+AA455+AB455)/3, 2), "")</f>
        <v/>
      </c>
    </row>
    <row r="456">
      <c r="A456" t="n">
        <v>166312097</v>
      </c>
      <c r="B456" t="n">
        <v>1750</v>
      </c>
      <c r="C456" t="inlineStr">
        <is>
          <t>£1,750 pcm</t>
        </is>
      </c>
      <c r="D456" t="inlineStr">
        <is>
          <t>monthly</t>
        </is>
      </c>
      <c r="E456" t="inlineStr">
        <is>
          <t>Flat</t>
        </is>
      </c>
      <c r="F456" t="n">
        <v>2</v>
      </c>
      <c r="G456" t="n">
        <v>1</v>
      </c>
      <c r="H456" t="inlineStr">
        <is>
          <t>London Road, Twickenham</t>
        </is>
      </c>
      <c r="I456" t="inlineStr">
        <is>
          <t>This two double bedroom apartment located 0.2 miles from Twickenham mainline station. With a bright and spacious living room, modern kitchen and the benefit of residents parking.</t>
        </is>
      </c>
      <c r="J456" t="inlineStr">
        <is>
          <t>https://www.rightmove.co.uk/properties/166312097#/?channel=RES_LET</t>
        </is>
      </c>
      <c r="K456" t="inlineStr">
        <is>
          <t>/property-to-rent/contactBranch.html?propertyId=166312097</t>
        </is>
      </c>
      <c r="L456" t="inlineStr">
        <is>
          <t>Dexters, Twickenham</t>
        </is>
      </c>
      <c r="M456" t="n">
        <v>84818</v>
      </c>
      <c r="N456" t="inlineStr">
        <is>
          <t>Reduced on 02/09/2025</t>
        </is>
      </c>
      <c r="O456" t="inlineStr">
        <is>
          <t>2025-08-28T14:24:59Z</t>
        </is>
      </c>
      <c r="R456" t="inlineStr">
        <is>
          <t>2025-10-16T17:42:39.529968</t>
        </is>
      </c>
      <c r="S456" t="inlineStr">
        <is>
          <t>{'let available date': 'Ask agent', 'deposit': '£2,019', 'min. tenancy': 'Ask agent', 'let type': 'Long term', 'furnish type': 'Unfurnished', 'council tax': 'Ask agent'}</t>
        </is>
      </c>
      <c r="V456" t="b">
        <v>1</v>
      </c>
      <c r="X456" t="n">
        <v>17.14</v>
      </c>
      <c r="Y456" t="n">
        <v>52.9</v>
      </c>
      <c r="Z456">
        <f>IF(AND(ISNUMBER(B456), ISNUMBER(MIN(B$2:B$486)), ISNUMBER(MAX(B$2:B$486))), IF(MAX(B$2:B$486)=MIN(B$2:B$486), 50, ROUND((MAX(B$2:B$486)-B456)/(MAX(B$2:B$486)-MIN(B$2:B$486))*100, 2)), "")</f>
        <v/>
      </c>
      <c r="AA456">
        <f>IF(AND(ISNUMBER(X456), ISNUMBER(MIN(X$2:X$486)), ISNUMBER(MAX(X$2:X$486))), IF(MAX(X$2:X$486)=MIN(X$2:X$486), 50, ROUND((MAX(X$2:X$486)-X456)/(MAX(X$2:X$486)-MIN(X$2:X$486))*100, 2)), "")</f>
        <v/>
      </c>
      <c r="AB456">
        <f>IF(AND(ISNUMBER(U456), ISNUMBER(MIN(U$2:U$486)), ISNUMBER(MAX(U$2:U$486))), IF(MAX(U$2:U$486)=MIN(U$2:U$486), 50, ROUND((U456-MIN(U$2:U$486))/(MAX(U$2:U$486)-MIN(U$2:U$486))*100, 2)), "")</f>
        <v/>
      </c>
      <c r="AC456">
        <f>IF(AND(ISNUMBER(Z456), ISNUMBER(AA456), ISNUMBER(AB456)), ROUND((Z456+AA456+AB456)/3, 2), "")</f>
        <v/>
      </c>
    </row>
    <row r="457">
      <c r="A457" t="n">
        <v>166447703</v>
      </c>
      <c r="B457" t="n">
        <v>1750</v>
      </c>
      <c r="C457" t="inlineStr">
        <is>
          <t>£1,750 pcm</t>
        </is>
      </c>
      <c r="D457" t="inlineStr">
        <is>
          <t>monthly</t>
        </is>
      </c>
      <c r="E457" t="inlineStr">
        <is>
          <t>Flat</t>
        </is>
      </c>
      <c r="F457" t="n">
        <v>2</v>
      </c>
      <c r="G457" t="n">
        <v>1</v>
      </c>
      <c r="H457" t="inlineStr">
        <is>
          <t>Southwood Road, London, SE9</t>
        </is>
      </c>
      <c r="I457" t="inlineStr">
        <is>
          <t>Newly developed Gated building! This spacious first floor unit features two double bedrooms, each offering ample room for your comfort. The kitchen is equipped with top-of-the-line integrated appl... ** Property Reference: 2608471 **</t>
        </is>
      </c>
      <c r="J457" t="inlineStr">
        <is>
          <t>https://www.rightmove.co.uk/properties/166447703#/?channel=RES_LET</t>
        </is>
      </c>
      <c r="K457" t="inlineStr">
        <is>
          <t>/property-to-rent/contactBranch.html?propertyId=166447703</t>
        </is>
      </c>
      <c r="L457" t="inlineStr">
        <is>
          <t>OpenRent, London</t>
        </is>
      </c>
      <c r="M457" t="n">
        <v>96668</v>
      </c>
      <c r="N457" t="inlineStr">
        <is>
          <t>Added on 01/09/2025</t>
        </is>
      </c>
      <c r="O457" t="inlineStr">
        <is>
          <t>2025-09-01T15:14:15Z</t>
        </is>
      </c>
      <c r="Q457" t="inlineStr">
        <is>
          <t>SE9</t>
        </is>
      </c>
      <c r="R457" t="inlineStr">
        <is>
          <t>2025-10-16T17:42:39.529974</t>
        </is>
      </c>
      <c r="S457" t="inlineStr">
        <is>
          <t>{'let available date': 'Now', 'deposit': '£2,019', 'min. tenancy': 'Ask agent', 'let type': 'Long term', 'furnish type': 'Unfurnished', 'council tax': 'Ask agent'}</t>
        </is>
      </c>
      <c r="V457" t="b">
        <v>1</v>
      </c>
      <c r="X457" t="n">
        <v>22.55</v>
      </c>
      <c r="Y457" t="n">
        <v>51.8</v>
      </c>
      <c r="Z457">
        <f>IF(AND(ISNUMBER(B457), ISNUMBER(MIN(B$2:B$486)), ISNUMBER(MAX(B$2:B$486))), IF(MAX(B$2:B$486)=MIN(B$2:B$486), 50, ROUND((MAX(B$2:B$486)-B457)/(MAX(B$2:B$486)-MIN(B$2:B$486))*100, 2)), "")</f>
        <v/>
      </c>
      <c r="AA457">
        <f>IF(AND(ISNUMBER(X457), ISNUMBER(MIN(X$2:X$486)), ISNUMBER(MAX(X$2:X$486))), IF(MAX(X$2:X$486)=MIN(X$2:X$486), 50, ROUND((MAX(X$2:X$486)-X457)/(MAX(X$2:X$486)-MIN(X$2:X$486))*100, 2)), "")</f>
        <v/>
      </c>
      <c r="AB457">
        <f>IF(AND(ISNUMBER(U457), ISNUMBER(MIN(U$2:U$486)), ISNUMBER(MAX(U$2:U$486))), IF(MAX(U$2:U$486)=MIN(U$2:U$486), 50, ROUND((U457-MIN(U$2:U$486))/(MAX(U$2:U$486)-MIN(U$2:U$486))*100, 2)), "")</f>
        <v/>
      </c>
      <c r="AC457">
        <f>IF(AND(ISNUMBER(Z457), ISNUMBER(AA457), ISNUMBER(AB457)), ROUND((Z457+AA457+AB457)/3, 2), "")</f>
        <v/>
      </c>
    </row>
    <row r="458">
      <c r="A458" t="n">
        <v>166432973</v>
      </c>
      <c r="B458" t="n">
        <v>1600</v>
      </c>
      <c r="C458" t="inlineStr">
        <is>
          <t>£1,600 pcm</t>
        </is>
      </c>
      <c r="D458" t="inlineStr">
        <is>
          <t>monthly</t>
        </is>
      </c>
      <c r="E458" t="inlineStr">
        <is>
          <t>Apartment</t>
        </is>
      </c>
      <c r="F458" t="n">
        <v>2</v>
      </c>
      <c r="G458" t="n">
        <v>1</v>
      </c>
      <c r="H458" t="inlineStr">
        <is>
          <t>Mawbey House, Old Kent Road, London, SE1</t>
        </is>
      </c>
      <c r="I458" t="inlineStr">
        <is>
          <t>*Zero Deposit Option and Tenant Rent Guarantee Available* Two Double Bedroom Flat to rent in Bermondsey, SE1 **ZERO DEPOSIT OPTION AVAILABLE** Comprising of Two Double Bedrooms, Kitchen, and Main Bathroom with separate toilet. No Lounge. Benefits includ...</t>
        </is>
      </c>
      <c r="J458" t="inlineStr">
        <is>
          <t>https://www.rightmove.co.uk/properties/166432973#/?channel=RES_LET</t>
        </is>
      </c>
      <c r="K458" t="inlineStr">
        <is>
          <t>/property-to-rent/contactBranch.html?propertyId=166432973</t>
        </is>
      </c>
      <c r="L458" t="inlineStr">
        <is>
          <t>Choices Asset Management, Redhill</t>
        </is>
      </c>
      <c r="M458" t="n">
        <v>182333</v>
      </c>
      <c r="N458" t="inlineStr">
        <is>
          <t>Added on 01/09/2025</t>
        </is>
      </c>
      <c r="O458" t="inlineStr">
        <is>
          <t>2025-09-01T11:53:10Z</t>
        </is>
      </c>
      <c r="Q458" t="inlineStr">
        <is>
          <t>SE1</t>
        </is>
      </c>
      <c r="R458" t="inlineStr">
        <is>
          <t>2025-10-16T17:42:40.927834</t>
        </is>
      </c>
      <c r="S458" t="inlineStr">
        <is>
          <t>{'let available date': '24/10/2025', 'deposit': '£0', 'min. tenancy': 'Ask agent', 'let type': 'Long term', 'furnish type': 'Furnished', 'council tax': 'Ask agent'}</t>
        </is>
      </c>
      <c r="V458" t="b">
        <v>1</v>
      </c>
      <c r="X458" t="n">
        <v>4.57</v>
      </c>
      <c r="Y458" t="n">
        <v>25.2</v>
      </c>
      <c r="Z458">
        <f>IF(AND(ISNUMBER(B458), ISNUMBER(MIN(B$2:B$486)), ISNUMBER(MAX(B$2:B$486))), IF(MAX(B$2:B$486)=MIN(B$2:B$486), 50, ROUND((MAX(B$2:B$486)-B458)/(MAX(B$2:B$486)-MIN(B$2:B$486))*100, 2)), "")</f>
        <v/>
      </c>
      <c r="AA458">
        <f>IF(AND(ISNUMBER(X458), ISNUMBER(MIN(X$2:X$486)), ISNUMBER(MAX(X$2:X$486))), IF(MAX(X$2:X$486)=MIN(X$2:X$486), 50, ROUND((MAX(X$2:X$486)-X458)/(MAX(X$2:X$486)-MIN(X$2:X$486))*100, 2)), "")</f>
        <v/>
      </c>
      <c r="AB458">
        <f>IF(AND(ISNUMBER(U458), ISNUMBER(MIN(U$2:U$486)), ISNUMBER(MAX(U$2:U$486))), IF(MAX(U$2:U$486)=MIN(U$2:U$486), 50, ROUND((U458-MIN(U$2:U$486))/(MAX(U$2:U$486)-MIN(U$2:U$486))*100, 2)), "")</f>
        <v/>
      </c>
      <c r="AC458">
        <f>IF(AND(ISNUMBER(Z458), ISNUMBER(AA458), ISNUMBER(AB458)), ROUND((Z458+AA458+AB458)/3, 2), "")</f>
        <v/>
      </c>
    </row>
    <row r="459">
      <c r="A459" t="n">
        <v>165552026</v>
      </c>
      <c r="B459" t="n">
        <v>1650</v>
      </c>
      <c r="C459" t="inlineStr">
        <is>
          <t>£1,650 pcm</t>
        </is>
      </c>
      <c r="D459" t="inlineStr">
        <is>
          <t>monthly</t>
        </is>
      </c>
      <c r="E459" t="inlineStr">
        <is>
          <t>Flat</t>
        </is>
      </c>
      <c r="F459" t="n">
        <v>2</v>
      </c>
      <c r="G459" t="n">
        <v>1</v>
      </c>
      <c r="H459" t="inlineStr">
        <is>
          <t>Stag Lane, LONDON, NW9</t>
        </is>
      </c>
      <c r="I459" t="inlineStr">
        <is>
          <t>Available Now - 2nd Floor Flat - 2 Bedrooms - Family Bathroom - Open Plan Reception &amp; Kitchen - Part Furnished - Off Street Parking Only - Closest Stations: Kingsbury (Jubilee - 1.3 miles) - Queensbury Station (Jubilee - 1 mile) - Council Tax Band: B (Brent)</t>
        </is>
      </c>
      <c r="J459" t="inlineStr">
        <is>
          <t>https://www.rightmove.co.uk/properties/165552026#/?channel=RES_LET</t>
        </is>
      </c>
      <c r="K459" t="inlineStr">
        <is>
          <t>/property-to-rent/contactBranch.html?propertyId=165552026</t>
        </is>
      </c>
      <c r="L459" t="inlineStr">
        <is>
          <t>Infinity Property Solutions, Harrow</t>
        </is>
      </c>
      <c r="M459" t="n">
        <v>111497</v>
      </c>
      <c r="N459" t="inlineStr">
        <is>
          <t>Reduced on 01/09/2025</t>
        </is>
      </c>
      <c r="O459" t="inlineStr">
        <is>
          <t>2025-08-08T16:54:01Z</t>
        </is>
      </c>
      <c r="Q459" t="inlineStr">
        <is>
          <t>NW9</t>
        </is>
      </c>
      <c r="R459" t="inlineStr">
        <is>
          <t>2025-10-16T17:42:40.927842</t>
        </is>
      </c>
      <c r="S459" t="inlineStr">
        <is>
          <t>{'let available date': 'Now', 'deposit': '£1,650', 'min. tenancy': '12 months', 'let type': 'Long term', 'furnish type': 'Part furnished', 'council tax': 'Ask agent'}</t>
        </is>
      </c>
      <c r="V459" t="b">
        <v>1</v>
      </c>
      <c r="X459" t="n">
        <v>15.5</v>
      </c>
      <c r="Y459" t="n">
        <v>45.7</v>
      </c>
      <c r="Z459">
        <f>IF(AND(ISNUMBER(B459), ISNUMBER(MIN(B$2:B$486)), ISNUMBER(MAX(B$2:B$486))), IF(MAX(B$2:B$486)=MIN(B$2:B$486), 50, ROUND((MAX(B$2:B$486)-B459)/(MAX(B$2:B$486)-MIN(B$2:B$486))*100, 2)), "")</f>
        <v/>
      </c>
      <c r="AA459">
        <f>IF(AND(ISNUMBER(X459), ISNUMBER(MIN(X$2:X$486)), ISNUMBER(MAX(X$2:X$486))), IF(MAX(X$2:X$486)=MIN(X$2:X$486), 50, ROUND((MAX(X$2:X$486)-X459)/(MAX(X$2:X$486)-MIN(X$2:X$486))*100, 2)), "")</f>
        <v/>
      </c>
      <c r="AB459">
        <f>IF(AND(ISNUMBER(U459), ISNUMBER(MIN(U$2:U$486)), ISNUMBER(MAX(U$2:U$486))), IF(MAX(U$2:U$486)=MIN(U$2:U$486), 50, ROUND((U459-MIN(U$2:U$486))/(MAX(U$2:U$486)-MIN(U$2:U$486))*100, 2)), "")</f>
        <v/>
      </c>
      <c r="AC459">
        <f>IF(AND(ISNUMBER(Z459), ISNUMBER(AA459), ISNUMBER(AB459)), ROUND((Z459+AA459+AB459)/3, 2), "")</f>
        <v/>
      </c>
    </row>
    <row r="460">
      <c r="A460" t="n">
        <v>166348682</v>
      </c>
      <c r="B460" t="n">
        <v>1700</v>
      </c>
      <c r="C460" t="inlineStr">
        <is>
          <t>£1,700 pcm</t>
        </is>
      </c>
      <c r="D460" t="inlineStr">
        <is>
          <t>monthly</t>
        </is>
      </c>
      <c r="E460" t="inlineStr">
        <is>
          <t>Flat</t>
        </is>
      </c>
      <c r="F460" t="n">
        <v>2</v>
      </c>
      <c r="G460" t="n">
        <v>1</v>
      </c>
      <c r="H460" t="inlineStr">
        <is>
          <t>Mulgrave Road, Sutton</t>
        </is>
      </c>
      <c r="I460" t="inlineStr">
        <is>
          <t>A well presented two double bedroom ground floor flat with a private terrace situated close to Sutton &amp; Cheam train stations.</t>
        </is>
      </c>
      <c r="J460" t="inlineStr">
        <is>
          <t>https://www.rightmove.co.uk/properties/166348682#/?channel=RES_LET</t>
        </is>
      </c>
      <c r="K460" t="inlineStr">
        <is>
          <t>/property-to-rent/contactBranch.html?propertyId=166348682</t>
        </is>
      </c>
      <c r="L460" t="inlineStr">
        <is>
          <t>The Personal Agent Lettings and Management Ltd, Banstead</t>
        </is>
      </c>
      <c r="M460" t="n">
        <v>196805</v>
      </c>
      <c r="N460" t="inlineStr">
        <is>
          <t>Added on 29/08/2025</t>
        </is>
      </c>
      <c r="O460" t="inlineStr">
        <is>
          <t>2025-08-29T10:46:13Z</t>
        </is>
      </c>
      <c r="R460" t="inlineStr">
        <is>
          <t>2025-10-16T17:42:40.927846</t>
        </is>
      </c>
      <c r="S460" t="inlineStr">
        <is>
          <t>{'let available date': 'Now', 'deposit': '£1,961', 'min. tenancy': '12 months', 'let type': 'Long term', 'furnish type': 'Unfurnished', 'council tax': 'Ask agent'}</t>
        </is>
      </c>
      <c r="T460" t="n">
        <v>753</v>
      </c>
      <c r="U460" t="n">
        <v>70</v>
      </c>
      <c r="V460" t="b">
        <v>1</v>
      </c>
      <c r="X460" t="n">
        <v>22.33</v>
      </c>
      <c r="Y460" t="n">
        <v>66</v>
      </c>
      <c r="Z460">
        <f>IF(AND(ISNUMBER(B460), ISNUMBER(MIN(B$2:B$486)), ISNUMBER(MAX(B$2:B$486))), IF(MAX(B$2:B$486)=MIN(B$2:B$486), 50, ROUND((MAX(B$2:B$486)-B460)/(MAX(B$2:B$486)-MIN(B$2:B$486))*100, 2)), "")</f>
        <v/>
      </c>
      <c r="AA460">
        <f>IF(AND(ISNUMBER(X460), ISNUMBER(MIN(X$2:X$486)), ISNUMBER(MAX(X$2:X$486))), IF(MAX(X$2:X$486)=MIN(X$2:X$486), 50, ROUND((MAX(X$2:X$486)-X460)/(MAX(X$2:X$486)-MIN(X$2:X$486))*100, 2)), "")</f>
        <v/>
      </c>
      <c r="AB460">
        <f>IF(AND(ISNUMBER(U460), ISNUMBER(MIN(U$2:U$486)), ISNUMBER(MAX(U$2:U$486))), IF(MAX(U$2:U$486)=MIN(U$2:U$486), 50, ROUND((U460-MIN(U$2:U$486))/(MAX(U$2:U$486)-MIN(U$2:U$486))*100, 2)), "")</f>
        <v/>
      </c>
      <c r="AC460">
        <f>IF(AND(ISNUMBER(Z460), ISNUMBER(AA460), ISNUMBER(AB460)), ROUND((Z460+AA460+AB460)/3, 2), "")</f>
        <v/>
      </c>
    </row>
    <row r="461">
      <c r="A461" t="n">
        <v>166260308</v>
      </c>
      <c r="B461" t="n">
        <v>1600</v>
      </c>
      <c r="C461" t="inlineStr">
        <is>
          <t>£1,600 pcm</t>
        </is>
      </c>
      <c r="D461" t="inlineStr">
        <is>
          <t>monthly</t>
        </is>
      </c>
      <c r="E461" t="inlineStr">
        <is>
          <t>Apartment</t>
        </is>
      </c>
      <c r="F461" t="n">
        <v>2</v>
      </c>
      <c r="G461" t="n">
        <v>2</v>
      </c>
      <c r="H461" t="inlineStr">
        <is>
          <t>High Road Leyton, London, E10</t>
        </is>
      </c>
      <c r="I461" t="inlineStr">
        <is>
          <t>Nationwide Residential &amp; Commercial are pleased to present this two bedroom apartment, in a wonderful London location, offering amazing comfortable living and convenience. The apartment is presented in outstanding condition.</t>
        </is>
      </c>
      <c r="J461" t="inlineStr">
        <is>
          <t>https://www.rightmove.co.uk/properties/166260308#/?channel=RES_LET</t>
        </is>
      </c>
      <c r="K461" t="inlineStr">
        <is>
          <t>/property-to-rent/contactBranch.html?propertyId=166260308</t>
        </is>
      </c>
      <c r="L461" t="inlineStr">
        <is>
          <t>Nationwide Residential &amp; Commercial Ltd, Essex</t>
        </is>
      </c>
      <c r="M461" t="n">
        <v>58041</v>
      </c>
      <c r="N461" t="inlineStr">
        <is>
          <t>Added on 27/08/2025</t>
        </is>
      </c>
      <c r="O461" t="inlineStr">
        <is>
          <t>2025-08-27T12:40:11Z</t>
        </is>
      </c>
      <c r="Q461" t="inlineStr">
        <is>
          <t>E10</t>
        </is>
      </c>
      <c r="R461" t="inlineStr">
        <is>
          <t>2025-10-16T17:42:40.927849</t>
        </is>
      </c>
      <c r="S461" t="inlineStr">
        <is>
          <t>{'let available date': 'Now', 'deposit': '£1,846', 'min. tenancy': 'Ask agent', 'let type': 'Long term', 'furnish type': 'Unfurnished', 'council tax': 'Ask agent'}</t>
        </is>
      </c>
      <c r="V461" t="b">
        <v>1</v>
      </c>
      <c r="X461" t="n">
        <v>12.31</v>
      </c>
      <c r="Y461" t="n">
        <v>49.3</v>
      </c>
      <c r="Z461">
        <f>IF(AND(ISNUMBER(B461), ISNUMBER(MIN(B$2:B$486)), ISNUMBER(MAX(B$2:B$486))), IF(MAX(B$2:B$486)=MIN(B$2:B$486), 50, ROUND((MAX(B$2:B$486)-B461)/(MAX(B$2:B$486)-MIN(B$2:B$486))*100, 2)), "")</f>
        <v/>
      </c>
      <c r="AA461">
        <f>IF(AND(ISNUMBER(X461), ISNUMBER(MIN(X$2:X$486)), ISNUMBER(MAX(X$2:X$486))), IF(MAX(X$2:X$486)=MIN(X$2:X$486), 50, ROUND((MAX(X$2:X$486)-X461)/(MAX(X$2:X$486)-MIN(X$2:X$486))*100, 2)), "")</f>
        <v/>
      </c>
      <c r="AB461">
        <f>IF(AND(ISNUMBER(U461), ISNUMBER(MIN(U$2:U$486)), ISNUMBER(MAX(U$2:U$486))), IF(MAX(U$2:U$486)=MIN(U$2:U$486), 50, ROUND((U461-MIN(U$2:U$486))/(MAX(U$2:U$486)-MIN(U$2:U$486))*100, 2)), "")</f>
        <v/>
      </c>
      <c r="AC461">
        <f>IF(AND(ISNUMBER(Z461), ISNUMBER(AA461), ISNUMBER(AB461)), ROUND((Z461+AA461+AB461)/3, 2), "")</f>
        <v/>
      </c>
    </row>
    <row r="462">
      <c r="A462" t="n">
        <v>167249915</v>
      </c>
      <c r="B462" t="n">
        <v>1700</v>
      </c>
      <c r="C462" t="inlineStr">
        <is>
          <t>£1,700 pcm</t>
        </is>
      </c>
      <c r="D462" t="inlineStr">
        <is>
          <t>monthly</t>
        </is>
      </c>
      <c r="E462" t="inlineStr">
        <is>
          <t>Apartment</t>
        </is>
      </c>
      <c r="F462" t="n">
        <v>2</v>
      </c>
      <c r="G462" t="n">
        <v>1</v>
      </c>
      <c r="H462" t="inlineStr">
        <is>
          <t>TWO BEDROOM FLAT FOR RENT ON ANERLEY PARK</t>
        </is>
      </c>
      <c r="I462" t="inlineStr">
        <is>
          <t>Heaven Estate Agent present a two bedroom apartment close to Crystal Palace Park</t>
        </is>
      </c>
      <c r="J462" t="inlineStr">
        <is>
          <t>https://www.rightmove.co.uk/properties/167249915#/?channel=RES_LET</t>
        </is>
      </c>
      <c r="K462" t="inlineStr">
        <is>
          <t>/property-to-rent/contactBranch.html?propertyId=167249915</t>
        </is>
      </c>
      <c r="L462" t="inlineStr">
        <is>
          <t>Heaven Estate Agents, London</t>
        </is>
      </c>
      <c r="M462" t="n">
        <v>225752</v>
      </c>
      <c r="N462" t="inlineStr">
        <is>
          <t>Added on 27/08/2025</t>
        </is>
      </c>
      <c r="O462" t="inlineStr">
        <is>
          <t>2025-09-22T10:33:53Z</t>
        </is>
      </c>
      <c r="R462" t="inlineStr">
        <is>
          <t>2025-10-16T17:42:40.927852</t>
        </is>
      </c>
      <c r="S462" t="inlineStr">
        <is>
          <t>{'let available date': 'Now', 'deposit': '£1,991', 'min. tenancy': 'Ask agent', 'let type': 'Long term', 'furnish type': 'Unfurnished', 'council tax': 'Ask agent'}</t>
        </is>
      </c>
      <c r="T462" t="n">
        <v>657</v>
      </c>
      <c r="U462" t="n">
        <v>61</v>
      </c>
      <c r="V462" t="b">
        <v>1</v>
      </c>
      <c r="X462" t="n">
        <v>14.69</v>
      </c>
      <c r="Y462" t="n">
        <v>49.1</v>
      </c>
      <c r="Z462">
        <f>IF(AND(ISNUMBER(B462), ISNUMBER(MIN(B$2:B$486)), ISNUMBER(MAX(B$2:B$486))), IF(MAX(B$2:B$486)=MIN(B$2:B$486), 50, ROUND((MAX(B$2:B$486)-B462)/(MAX(B$2:B$486)-MIN(B$2:B$486))*100, 2)), "")</f>
        <v/>
      </c>
      <c r="AA462">
        <f>IF(AND(ISNUMBER(X462), ISNUMBER(MIN(X$2:X$486)), ISNUMBER(MAX(X$2:X$486))), IF(MAX(X$2:X$486)=MIN(X$2:X$486), 50, ROUND((MAX(X$2:X$486)-X462)/(MAX(X$2:X$486)-MIN(X$2:X$486))*100, 2)), "")</f>
        <v/>
      </c>
      <c r="AB462">
        <f>IF(AND(ISNUMBER(U462), ISNUMBER(MIN(U$2:U$486)), ISNUMBER(MAX(U$2:U$486))), IF(MAX(U$2:U$486)=MIN(U$2:U$486), 50, ROUND((U462-MIN(U$2:U$486))/(MAX(U$2:U$486)-MIN(U$2:U$486))*100, 2)), "")</f>
        <v/>
      </c>
      <c r="AC462">
        <f>IF(AND(ISNUMBER(Z462), ISNUMBER(AA462), ISNUMBER(AB462)), ROUND((Z462+AA462+AB462)/3, 2), "")</f>
        <v/>
      </c>
    </row>
    <row r="463">
      <c r="A463" t="n">
        <v>13800300</v>
      </c>
      <c r="B463" t="n">
        <v>385</v>
      </c>
      <c r="C463" t="inlineStr">
        <is>
          <t>£1,668 pcm</t>
        </is>
      </c>
      <c r="D463" t="inlineStr">
        <is>
          <t>weekly</t>
        </is>
      </c>
      <c r="E463" t="inlineStr">
        <is>
          <t>Flat</t>
        </is>
      </c>
      <c r="F463" t="n">
        <v>2</v>
      </c>
      <c r="G463" t="n">
        <v>1</v>
      </c>
      <c r="H463" t="inlineStr">
        <is>
          <t>Birkbeck Road, Mill Hill NW7</t>
        </is>
      </c>
      <c r="I463" t="inlineStr">
        <is>
          <t>Two bedroom one bathroom ground floor flat with picturesque rear garden overlooking stunning private land. Situated within this quiet and well maintained P/B block. Located in the sought after Poet's Corner area of Mill Hill NW7. Short walking distance to Mill Hill Broadway and Parks. Available Now.</t>
        </is>
      </c>
      <c r="J463" t="inlineStr">
        <is>
          <t>https://www.rightmove.co.uk/properties/13800300#/?channel=RES_LET</t>
        </is>
      </c>
      <c r="K463" t="inlineStr">
        <is>
          <t>/property-to-rent/contactBranch.html?propertyId=13800300</t>
        </is>
      </c>
      <c r="L463" t="inlineStr">
        <is>
          <t>Becker &amp; Co, Mill Hill</t>
        </is>
      </c>
      <c r="M463" t="n">
        <v>76631</v>
      </c>
      <c r="N463" t="inlineStr">
        <is>
          <t>Added on 26/08/2025</t>
        </is>
      </c>
      <c r="O463" t="inlineStr">
        <is>
          <t>2009-11-06T15:22:13Z</t>
        </is>
      </c>
      <c r="Q463" t="inlineStr">
        <is>
          <t>NW7</t>
        </is>
      </c>
      <c r="R463" t="inlineStr">
        <is>
          <t>2025-10-16T17:42:40.927856</t>
        </is>
      </c>
      <c r="S463" t="inlineStr">
        <is>
          <t>{'let available date': 'Now', 'deposit': 'Ask agent', 'min. tenancy': 'Ask agent', 'let type': 'Long term', 'furnish type': 'Unfurnished', 'council tax': 'Ask agent'}</t>
        </is>
      </c>
      <c r="V463" t="b">
        <v>1</v>
      </c>
      <c r="X463" t="n">
        <v>17.56</v>
      </c>
      <c r="Y463" t="n">
        <v>49.1</v>
      </c>
      <c r="Z463">
        <f>IF(AND(ISNUMBER(B463), ISNUMBER(MIN(B$2:B$486)), ISNUMBER(MAX(B$2:B$486))), IF(MAX(B$2:B$486)=MIN(B$2:B$486), 50, ROUND((MAX(B$2:B$486)-B463)/(MAX(B$2:B$486)-MIN(B$2:B$486))*100, 2)), "")</f>
        <v/>
      </c>
      <c r="AA463">
        <f>IF(AND(ISNUMBER(X463), ISNUMBER(MIN(X$2:X$486)), ISNUMBER(MAX(X$2:X$486))), IF(MAX(X$2:X$486)=MIN(X$2:X$486), 50, ROUND((MAX(X$2:X$486)-X463)/(MAX(X$2:X$486)-MIN(X$2:X$486))*100, 2)), "")</f>
        <v/>
      </c>
      <c r="AB463">
        <f>IF(AND(ISNUMBER(U463), ISNUMBER(MIN(U$2:U$486)), ISNUMBER(MAX(U$2:U$486))), IF(MAX(U$2:U$486)=MIN(U$2:U$486), 50, ROUND((U463-MIN(U$2:U$486))/(MAX(U$2:U$486)-MIN(U$2:U$486))*100, 2)), "")</f>
        <v/>
      </c>
      <c r="AC463">
        <f>IF(AND(ISNUMBER(Z463), ISNUMBER(AA463), ISNUMBER(AB463)), ROUND((Z463+AA463+AB463)/3, 2), "")</f>
        <v/>
      </c>
    </row>
    <row r="464">
      <c r="A464" t="n">
        <v>166163462</v>
      </c>
      <c r="B464" t="n">
        <v>1750</v>
      </c>
      <c r="C464" t="inlineStr">
        <is>
          <t>£1,750 pcm</t>
        </is>
      </c>
      <c r="D464" t="inlineStr">
        <is>
          <t>monthly</t>
        </is>
      </c>
      <c r="E464" t="inlineStr">
        <is>
          <t>Flat</t>
        </is>
      </c>
      <c r="F464" t="n">
        <v>2</v>
      </c>
      <c r="G464" t="n">
        <v>1</v>
      </c>
      <c r="H464" t="inlineStr">
        <is>
          <t>Victoria Road, Sutton, SM1</t>
        </is>
      </c>
      <c r="I464" t="inlineStr">
        <is>
          <t>Fantastic, 2 bed Duplex flat on the top 2 floors of this converted Victorian house. Converted only 5 years ago, Freshly decorated. Contains 2 bedrooms, one bathroom and open plan kitchen. Extensiv... ** Property Reference: 2417233 **</t>
        </is>
      </c>
      <c r="J464" t="inlineStr">
        <is>
          <t>https://www.rightmove.co.uk/properties/166163462#/?channel=RES_LET</t>
        </is>
      </c>
      <c r="K464" t="inlineStr">
        <is>
          <t>/property-to-rent/contactBranch.html?propertyId=166163462</t>
        </is>
      </c>
      <c r="L464" t="inlineStr">
        <is>
          <t>OpenRent, London</t>
        </is>
      </c>
      <c r="M464" t="n">
        <v>96668</v>
      </c>
      <c r="N464" t="inlineStr">
        <is>
          <t>Added on 25/08/2025</t>
        </is>
      </c>
      <c r="O464" t="inlineStr">
        <is>
          <t>2025-08-25T00:05:32Z</t>
        </is>
      </c>
      <c r="Q464" t="inlineStr">
        <is>
          <t>SM1</t>
        </is>
      </c>
      <c r="R464" t="inlineStr">
        <is>
          <t>2025-10-16T17:42:40.927859</t>
        </is>
      </c>
      <c r="S464" t="inlineStr">
        <is>
          <t>{'let available date': 'Now', 'deposit': '£1,750', 'min. tenancy': 'Ask agent', 'let type': 'Long term', 'furnish type': 'Furnished', 'council tax': 'Ask agent'}</t>
        </is>
      </c>
      <c r="V464" t="b">
        <v>1</v>
      </c>
      <c r="X464" t="n">
        <v>20.15</v>
      </c>
      <c r="Y464" t="n">
        <v>60.7</v>
      </c>
      <c r="Z464">
        <f>IF(AND(ISNUMBER(B464), ISNUMBER(MIN(B$2:B$486)), ISNUMBER(MAX(B$2:B$486))), IF(MAX(B$2:B$486)=MIN(B$2:B$486), 50, ROUND((MAX(B$2:B$486)-B464)/(MAX(B$2:B$486)-MIN(B$2:B$486))*100, 2)), "")</f>
        <v/>
      </c>
      <c r="AA464">
        <f>IF(AND(ISNUMBER(X464), ISNUMBER(MIN(X$2:X$486)), ISNUMBER(MAX(X$2:X$486))), IF(MAX(X$2:X$486)=MIN(X$2:X$486), 50, ROUND((MAX(X$2:X$486)-X464)/(MAX(X$2:X$486)-MIN(X$2:X$486))*100, 2)), "")</f>
        <v/>
      </c>
      <c r="AB464">
        <f>IF(AND(ISNUMBER(U464), ISNUMBER(MIN(U$2:U$486)), ISNUMBER(MAX(U$2:U$486))), IF(MAX(U$2:U$486)=MIN(U$2:U$486), 50, ROUND((U464-MIN(U$2:U$486))/(MAX(U$2:U$486)-MIN(U$2:U$486))*100, 2)), "")</f>
        <v/>
      </c>
      <c r="AC464">
        <f>IF(AND(ISNUMBER(Z464), ISNUMBER(AA464), ISNUMBER(AB464)), ROUND((Z464+AA464+AB464)/3, 2), "")</f>
        <v/>
      </c>
    </row>
    <row r="465">
      <c r="A465" t="n">
        <v>166136750</v>
      </c>
      <c r="B465" t="n">
        <v>1725</v>
      </c>
      <c r="C465" t="inlineStr">
        <is>
          <t>£1,725 pcm</t>
        </is>
      </c>
      <c r="D465" t="inlineStr">
        <is>
          <t>monthly</t>
        </is>
      </c>
      <c r="E465" t="inlineStr">
        <is>
          <t>Apartment</t>
        </is>
      </c>
      <c r="F465" t="n">
        <v>2</v>
      </c>
      <c r="H465" t="inlineStr">
        <is>
          <t>Queens Parade, Friern Barnet Road, London, N11</t>
        </is>
      </c>
      <c r="I465" t="inlineStr">
        <is>
          <t xml:space="preserve">Woodhouse Estates are delighted to offer this immaculately presented first floor two bedroom flat set in Friern Barnet - Available Now </t>
        </is>
      </c>
      <c r="J465" t="inlineStr">
        <is>
          <t>https://www.rightmove.co.uk/properties/166136750#/?channel=RES_LET</t>
        </is>
      </c>
      <c r="K465" t="inlineStr">
        <is>
          <t>/property-to-rent/contactBranch.html?propertyId=166136750</t>
        </is>
      </c>
      <c r="L465" t="inlineStr">
        <is>
          <t>Woodhouse Estates, Friern Barnet</t>
        </is>
      </c>
      <c r="M465" t="n">
        <v>77192</v>
      </c>
      <c r="N465" t="inlineStr">
        <is>
          <t>Reduced on 24/08/2025</t>
        </is>
      </c>
      <c r="O465" t="inlineStr">
        <is>
          <t>2025-08-24T17:50:22Z</t>
        </is>
      </c>
      <c r="Q465" t="inlineStr">
        <is>
          <t>N11</t>
        </is>
      </c>
      <c r="R465" t="inlineStr">
        <is>
          <t>2025-10-16T17:42:40.927862</t>
        </is>
      </c>
      <c r="S465" t="inlineStr">
        <is>
          <t>{'let available date': 'Ask agent', 'deposit': 'Ask agent', 'min. tenancy': 'Ask agent', 'let type': 'Long term', 'furnish type': 'Part furnished', 'council tax': 'Ask agent'}</t>
        </is>
      </c>
      <c r="V465" t="b">
        <v>1</v>
      </c>
      <c r="X465" t="n">
        <v>16.36</v>
      </c>
      <c r="Y465" t="n">
        <v>48.1</v>
      </c>
      <c r="Z465">
        <f>IF(AND(ISNUMBER(B465), ISNUMBER(MIN(B$2:B$486)), ISNUMBER(MAX(B$2:B$486))), IF(MAX(B$2:B$486)=MIN(B$2:B$486), 50, ROUND((MAX(B$2:B$486)-B465)/(MAX(B$2:B$486)-MIN(B$2:B$486))*100, 2)), "")</f>
        <v/>
      </c>
      <c r="AA465">
        <f>IF(AND(ISNUMBER(X465), ISNUMBER(MIN(X$2:X$486)), ISNUMBER(MAX(X$2:X$486))), IF(MAX(X$2:X$486)=MIN(X$2:X$486), 50, ROUND((MAX(X$2:X$486)-X465)/(MAX(X$2:X$486)-MIN(X$2:X$486))*100, 2)), "")</f>
        <v/>
      </c>
      <c r="AB465">
        <f>IF(AND(ISNUMBER(U465), ISNUMBER(MIN(U$2:U$486)), ISNUMBER(MAX(U$2:U$486))), IF(MAX(U$2:U$486)=MIN(U$2:U$486), 50, ROUND((U465-MIN(U$2:U$486))/(MAX(U$2:U$486)-MIN(U$2:U$486))*100, 2)), "")</f>
        <v/>
      </c>
      <c r="AC465">
        <f>IF(AND(ISNUMBER(Z465), ISNUMBER(AA465), ISNUMBER(AB465)), ROUND((Z465+AA465+AB465)/3, 2), "")</f>
        <v/>
      </c>
    </row>
    <row r="466">
      <c r="A466" t="n">
        <v>164895200</v>
      </c>
      <c r="B466" t="n">
        <v>1700</v>
      </c>
      <c r="C466" t="inlineStr">
        <is>
          <t>£1,700 pcm</t>
        </is>
      </c>
      <c r="D466" t="inlineStr">
        <is>
          <t>monthly</t>
        </is>
      </c>
      <c r="E466" t="inlineStr">
        <is>
          <t>Apartment</t>
        </is>
      </c>
      <c r="F466" t="n">
        <v>2</v>
      </c>
      <c r="G466" t="n">
        <v>1</v>
      </c>
      <c r="H466" t="inlineStr">
        <is>
          <t>Varsity Drive, Middlesex</t>
        </is>
      </c>
      <c r="I466" t="inlineStr">
        <is>
          <t>Situated in the popular Varsity Drive development, is this ground-floor flat. Well presented throughout, with a bright aspect and a neutral décor, providing a good size living/dining room, a separate kitchen, two double bedrooms, and a bathroom. Additional features i...</t>
        </is>
      </c>
      <c r="J466" t="inlineStr">
        <is>
          <t>https://www.rightmove.co.uk/properties/164895200#/?channel=RES_LET</t>
        </is>
      </c>
      <c r="K466" t="inlineStr">
        <is>
          <t>/property-to-rent/contactBranch.html?propertyId=164895200</t>
        </is>
      </c>
      <c r="L466" t="inlineStr">
        <is>
          <t>Chase Buchanan, Twickenham &amp; Strawberry Hill - Lettings</t>
        </is>
      </c>
      <c r="M466" t="n">
        <v>48798</v>
      </c>
      <c r="N466" t="inlineStr">
        <is>
          <t>Reduced on 21/08/2025</t>
        </is>
      </c>
      <c r="O466" t="inlineStr">
        <is>
          <t>2025-07-24T11:41:00Z</t>
        </is>
      </c>
      <c r="R466" t="inlineStr">
        <is>
          <t>2025-10-16T17:42:40.927865</t>
        </is>
      </c>
      <c r="S466" t="inlineStr">
        <is>
          <t>{'let available date': '01/11/2025', 'deposit': '£1,961', 'min. tenancy': '12 months', 'let type': 'Long term', 'furnish type': 'Ask agent', 'council tax': 'Ask agent'}</t>
        </is>
      </c>
      <c r="V466" t="b">
        <v>1</v>
      </c>
      <c r="X466" t="n">
        <v>18</v>
      </c>
      <c r="Y466" t="n">
        <v>55.4</v>
      </c>
      <c r="Z466">
        <f>IF(AND(ISNUMBER(B466), ISNUMBER(MIN(B$2:B$486)), ISNUMBER(MAX(B$2:B$486))), IF(MAX(B$2:B$486)=MIN(B$2:B$486), 50, ROUND((MAX(B$2:B$486)-B466)/(MAX(B$2:B$486)-MIN(B$2:B$486))*100, 2)), "")</f>
        <v/>
      </c>
      <c r="AA466">
        <f>IF(AND(ISNUMBER(X466), ISNUMBER(MIN(X$2:X$486)), ISNUMBER(MAX(X$2:X$486))), IF(MAX(X$2:X$486)=MIN(X$2:X$486), 50, ROUND((MAX(X$2:X$486)-X466)/(MAX(X$2:X$486)-MIN(X$2:X$486))*100, 2)), "")</f>
        <v/>
      </c>
      <c r="AB466">
        <f>IF(AND(ISNUMBER(U466), ISNUMBER(MIN(U$2:U$486)), ISNUMBER(MAX(U$2:U$486))), IF(MAX(U$2:U$486)=MIN(U$2:U$486), 50, ROUND((U466-MIN(U$2:U$486))/(MAX(U$2:U$486)-MIN(U$2:U$486))*100, 2)), "")</f>
        <v/>
      </c>
      <c r="AC466">
        <f>IF(AND(ISNUMBER(Z466), ISNUMBER(AA466), ISNUMBER(AB466)), ROUND((Z466+AA466+AB466)/3, 2), "")</f>
        <v/>
      </c>
    </row>
    <row r="467">
      <c r="A467" t="n">
        <v>165643130</v>
      </c>
      <c r="B467" t="n">
        <v>1675</v>
      </c>
      <c r="C467" t="inlineStr">
        <is>
          <t>£1,675 pcm</t>
        </is>
      </c>
      <c r="D467" t="inlineStr">
        <is>
          <t>monthly</t>
        </is>
      </c>
      <c r="E467" t="inlineStr">
        <is>
          <t>Flat</t>
        </is>
      </c>
      <c r="F467" t="n">
        <v>2</v>
      </c>
      <c r="G467" t="n">
        <v>2</v>
      </c>
      <c r="H467" t="inlineStr">
        <is>
          <t>Salmonsbrook House, EN2</t>
        </is>
      </c>
      <c r="I467" t="inlineStr">
        <is>
          <t>Ian Gibbs are delighted to offer this spacious, extremely well presented two bedroom property on the top floor. The property comprises of large lounge, two double bedrooms with en-suite and built in wardrobes to master, modern fitted kitchen and family bathroom. The property further benefits from...</t>
        </is>
      </c>
      <c r="J467" t="inlineStr">
        <is>
          <t>https://www.rightmove.co.uk/properties/165643130#/?channel=RES_LET</t>
        </is>
      </c>
      <c r="K467" t="inlineStr">
        <is>
          <t>/property-to-rent/contactBranch.html?propertyId=165643130</t>
        </is>
      </c>
      <c r="L467" t="inlineStr">
        <is>
          <t>Ian Gibbs, Enfield Lettings</t>
        </is>
      </c>
      <c r="M467" t="n">
        <v>143588</v>
      </c>
      <c r="N467" t="inlineStr">
        <is>
          <t>Reduced on 19/08/2025</t>
        </is>
      </c>
      <c r="O467" t="inlineStr">
        <is>
          <t>2025-08-12T10:47:36Z</t>
        </is>
      </c>
      <c r="Q467" t="inlineStr">
        <is>
          <t>EN2</t>
        </is>
      </c>
      <c r="R467" t="inlineStr">
        <is>
          <t>2025-10-16T17:42:40.927868</t>
        </is>
      </c>
      <c r="S467" t="inlineStr">
        <is>
          <t>{'let available date': 'Now', 'deposit': '£1,933', 'min. tenancy': 'Ask agent', 'let type': 'Long term', 'furnish type': 'Unfurnished', 'council tax': 'Ask agent'}</t>
        </is>
      </c>
      <c r="V467" t="b">
        <v>1</v>
      </c>
      <c r="X467" t="n">
        <v>23.71</v>
      </c>
      <c r="Y467" t="n">
        <v>62.1</v>
      </c>
      <c r="Z467">
        <f>IF(AND(ISNUMBER(B467), ISNUMBER(MIN(B$2:B$486)), ISNUMBER(MAX(B$2:B$486))), IF(MAX(B$2:B$486)=MIN(B$2:B$486), 50, ROUND((MAX(B$2:B$486)-B467)/(MAX(B$2:B$486)-MIN(B$2:B$486))*100, 2)), "")</f>
        <v/>
      </c>
      <c r="AA467">
        <f>IF(AND(ISNUMBER(X467), ISNUMBER(MIN(X$2:X$486)), ISNUMBER(MAX(X$2:X$486))), IF(MAX(X$2:X$486)=MIN(X$2:X$486), 50, ROUND((MAX(X$2:X$486)-X467)/(MAX(X$2:X$486)-MIN(X$2:X$486))*100, 2)), "")</f>
        <v/>
      </c>
      <c r="AB467">
        <f>IF(AND(ISNUMBER(U467), ISNUMBER(MIN(U$2:U$486)), ISNUMBER(MAX(U$2:U$486))), IF(MAX(U$2:U$486)=MIN(U$2:U$486), 50, ROUND((U467-MIN(U$2:U$486))/(MAX(U$2:U$486)-MIN(U$2:U$486))*100, 2)), "")</f>
        <v/>
      </c>
      <c r="AC467">
        <f>IF(AND(ISNUMBER(Z467), ISNUMBER(AA467), ISNUMBER(AB467)), ROUND((Z467+AA467+AB467)/3, 2), "")</f>
        <v/>
      </c>
    </row>
    <row r="468">
      <c r="A468" t="n">
        <v>165830627</v>
      </c>
      <c r="B468" t="n">
        <v>1525</v>
      </c>
      <c r="C468" t="inlineStr">
        <is>
          <t>£1,525 pcm</t>
        </is>
      </c>
      <c r="D468" t="inlineStr">
        <is>
          <t>monthly</t>
        </is>
      </c>
      <c r="E468" t="inlineStr">
        <is>
          <t>Apartment</t>
        </is>
      </c>
      <c r="F468" t="n">
        <v>2</v>
      </c>
      <c r="G468" t="n">
        <v>1</v>
      </c>
      <c r="H468" t="inlineStr">
        <is>
          <t>Woodcote Road Wallington SM6</t>
        </is>
      </c>
      <c r="I468" t="inlineStr">
        <is>
          <t>DEPOSIT ALTERNATIVE AVAILABLE: Two double bedroom flat with private terrace and a secure garage en bloc.</t>
        </is>
      </c>
      <c r="J468" t="inlineStr">
        <is>
          <t>https://www.rightmove.co.uk/properties/165830627#/?channel=RES_LET</t>
        </is>
      </c>
      <c r="K468" t="inlineStr">
        <is>
          <t>/property-to-rent/contactBranch.html?propertyId=165830627</t>
        </is>
      </c>
      <c r="L468" t="inlineStr">
        <is>
          <t>Cubitt &amp; West Residential Lettings, Sutton</t>
        </is>
      </c>
      <c r="M468" t="n">
        <v>82928</v>
      </c>
      <c r="N468" t="inlineStr">
        <is>
          <t>Added on 16/08/2025</t>
        </is>
      </c>
      <c r="O468" t="inlineStr">
        <is>
          <t>2025-08-16T12:05:51Z</t>
        </is>
      </c>
      <c r="Q468" t="inlineStr">
        <is>
          <t>SM6</t>
        </is>
      </c>
      <c r="R468" t="inlineStr">
        <is>
          <t>2025-10-16T17:42:40.927871</t>
        </is>
      </c>
      <c r="S468" t="inlineStr">
        <is>
          <t>{'let available date': 'Now', 'deposit': '£1,760', 'min. tenancy': 'Ask agent', 'let type': 'Long term', 'furnish type': 'Unfurnished', 'council tax': 'Ask agent'}</t>
        </is>
      </c>
      <c r="V468" t="b">
        <v>1</v>
      </c>
      <c r="X468" t="n">
        <v>20.45</v>
      </c>
      <c r="Y468" t="n">
        <v>64.59999999999999</v>
      </c>
      <c r="Z468">
        <f>IF(AND(ISNUMBER(B468), ISNUMBER(MIN(B$2:B$486)), ISNUMBER(MAX(B$2:B$486))), IF(MAX(B$2:B$486)=MIN(B$2:B$486), 50, ROUND((MAX(B$2:B$486)-B468)/(MAX(B$2:B$486)-MIN(B$2:B$486))*100, 2)), "")</f>
        <v/>
      </c>
      <c r="AA468">
        <f>IF(AND(ISNUMBER(X468), ISNUMBER(MIN(X$2:X$486)), ISNUMBER(MAX(X$2:X$486))), IF(MAX(X$2:X$486)=MIN(X$2:X$486), 50, ROUND((MAX(X$2:X$486)-X468)/(MAX(X$2:X$486)-MIN(X$2:X$486))*100, 2)), "")</f>
        <v/>
      </c>
      <c r="AB468">
        <f>IF(AND(ISNUMBER(U468), ISNUMBER(MIN(U$2:U$486)), ISNUMBER(MAX(U$2:U$486))), IF(MAX(U$2:U$486)=MIN(U$2:U$486), 50, ROUND((U468-MIN(U$2:U$486))/(MAX(U$2:U$486)-MIN(U$2:U$486))*100, 2)), "")</f>
        <v/>
      </c>
      <c r="AC468">
        <f>IF(AND(ISNUMBER(Z468), ISNUMBER(AA468), ISNUMBER(AB468)), ROUND((Z468+AA468+AB468)/3, 2), "")</f>
        <v/>
      </c>
    </row>
    <row r="469">
      <c r="A469" t="n">
        <v>165795029</v>
      </c>
      <c r="B469" t="n">
        <v>1675</v>
      </c>
      <c r="C469" t="inlineStr">
        <is>
          <t>£1,675 pcm</t>
        </is>
      </c>
      <c r="D469" t="inlineStr">
        <is>
          <t>monthly</t>
        </is>
      </c>
      <c r="E469" t="inlineStr">
        <is>
          <t>Terraced</t>
        </is>
      </c>
      <c r="F469" t="n">
        <v>2</v>
      </c>
      <c r="G469" t="n">
        <v>1</v>
      </c>
      <c r="H469" t="inlineStr">
        <is>
          <t>Admaston Road, London</t>
        </is>
      </c>
      <c r="I469" t="inlineStr">
        <is>
          <t>Goodwin Ellis are delighted to offer this 2 double bedroom Victorian House situated on a popular road close to both Shrewsbury Park and Plumstead Common Road. This property comprises of double glazed windows throughout, a spacious fitted kitchen with appliances, gas central heating, rear garden a...</t>
        </is>
      </c>
      <c r="J469" t="inlineStr">
        <is>
          <t>https://www.rightmove.co.uk/properties/165795029#/?channel=RES_LET</t>
        </is>
      </c>
      <c r="K469" t="inlineStr">
        <is>
          <t>/property-to-rent/contactBranch.html?propertyId=165795029</t>
        </is>
      </c>
      <c r="L469" t="inlineStr">
        <is>
          <t>Goodwin Ellis Property Services Ltd, London</t>
        </is>
      </c>
      <c r="M469" t="n">
        <v>80121</v>
      </c>
      <c r="N469" t="inlineStr">
        <is>
          <t>Added on 15/08/2025</t>
        </is>
      </c>
      <c r="O469" t="inlineStr">
        <is>
          <t>2025-08-15T13:02:17Z</t>
        </is>
      </c>
      <c r="R469" t="inlineStr">
        <is>
          <t>2025-10-16T17:42:40.927874</t>
        </is>
      </c>
      <c r="S469" t="inlineStr">
        <is>
          <t>{'let available date': 'Now', 'deposit': '£1,933', 'min. tenancy': 'Ask agent', 'let type': 'Long term', 'furnish type': 'Part furnished', 'council tax': 'Ask agent'}</t>
        </is>
      </c>
      <c r="T469" t="n">
        <v>721</v>
      </c>
      <c r="U469" t="n">
        <v>67</v>
      </c>
      <c r="V469" t="b">
        <v>1</v>
      </c>
      <c r="X469" t="n">
        <v>20.93</v>
      </c>
      <c r="Y469" t="n">
        <v>51.9</v>
      </c>
      <c r="Z469">
        <f>IF(AND(ISNUMBER(B469), ISNUMBER(MIN(B$2:B$486)), ISNUMBER(MAX(B$2:B$486))), IF(MAX(B$2:B$486)=MIN(B$2:B$486), 50, ROUND((MAX(B$2:B$486)-B469)/(MAX(B$2:B$486)-MIN(B$2:B$486))*100, 2)), "")</f>
        <v/>
      </c>
      <c r="AA469">
        <f>IF(AND(ISNUMBER(X469), ISNUMBER(MIN(X$2:X$486)), ISNUMBER(MAX(X$2:X$486))), IF(MAX(X$2:X$486)=MIN(X$2:X$486), 50, ROUND((MAX(X$2:X$486)-X469)/(MAX(X$2:X$486)-MIN(X$2:X$486))*100, 2)), "")</f>
        <v/>
      </c>
      <c r="AB469">
        <f>IF(AND(ISNUMBER(U469), ISNUMBER(MIN(U$2:U$486)), ISNUMBER(MAX(U$2:U$486))), IF(MAX(U$2:U$486)=MIN(U$2:U$486), 50, ROUND((U469-MIN(U$2:U$486))/(MAX(U$2:U$486)-MIN(U$2:U$486))*100, 2)), "")</f>
        <v/>
      </c>
      <c r="AC469">
        <f>IF(AND(ISNUMBER(Z469), ISNUMBER(AA469), ISNUMBER(AB469)), ROUND((Z469+AA469+AB469)/3, 2), "")</f>
        <v/>
      </c>
    </row>
    <row r="470">
      <c r="A470" t="n">
        <v>114923945</v>
      </c>
      <c r="B470" t="n">
        <v>1700</v>
      </c>
      <c r="C470" t="inlineStr">
        <is>
          <t>£1,700 pcm</t>
        </is>
      </c>
      <c r="D470" t="inlineStr">
        <is>
          <t>monthly</t>
        </is>
      </c>
      <c r="E470" t="inlineStr">
        <is>
          <t>Flat</t>
        </is>
      </c>
      <c r="F470" t="n">
        <v>2</v>
      </c>
      <c r="G470" t="n">
        <v>1</v>
      </c>
      <c r="H470" t="inlineStr">
        <is>
          <t>St Mary Road, London</t>
        </is>
      </c>
      <c r="I470" t="inlineStr">
        <is>
          <t>Come and see this fantastic two bedroom flat. This home is a split level apartment and includes two double bedrooms, a large kitchen and living room with feature fireplace and a modern bathroom</t>
        </is>
      </c>
      <c r="J470" t="inlineStr">
        <is>
          <t>https://www.rightmove.co.uk/properties/114923945#/?channel=RES_LET</t>
        </is>
      </c>
      <c r="K470" t="inlineStr">
        <is>
          <t>/property-to-rent/contactBranch.html?propertyId=114923945</t>
        </is>
      </c>
      <c r="L470" t="inlineStr">
        <is>
          <t>haart, Walthamstow - Lettings</t>
        </is>
      </c>
      <c r="M470" t="n">
        <v>93848</v>
      </c>
      <c r="N470" t="inlineStr">
        <is>
          <t>Added on 13/08/2025</t>
        </is>
      </c>
      <c r="O470" t="inlineStr">
        <is>
          <t>2025-08-13T15:13:04Z</t>
        </is>
      </c>
      <c r="R470" t="inlineStr">
        <is>
          <t>2025-10-16T17:42:40.927876</t>
        </is>
      </c>
      <c r="S470" t="inlineStr">
        <is>
          <t>{'let available date': '27/10/2025', 'deposit': '£1,750', 'min. tenancy': 'Ask agent', 'let type': 'Long term', 'furnish type': 'Ask agent', 'council tax': 'Ask agent'}</t>
        </is>
      </c>
      <c r="V470" t="b">
        <v>1</v>
      </c>
      <c r="X470" t="n">
        <v>14.13</v>
      </c>
      <c r="Y470" t="n">
        <v>55.2</v>
      </c>
      <c r="Z470">
        <f>IF(AND(ISNUMBER(B470), ISNUMBER(MIN(B$2:B$486)), ISNUMBER(MAX(B$2:B$486))), IF(MAX(B$2:B$486)=MIN(B$2:B$486), 50, ROUND((MAX(B$2:B$486)-B470)/(MAX(B$2:B$486)-MIN(B$2:B$486))*100, 2)), "")</f>
        <v/>
      </c>
      <c r="AA470">
        <f>IF(AND(ISNUMBER(X470), ISNUMBER(MIN(X$2:X$486)), ISNUMBER(MAX(X$2:X$486))), IF(MAX(X$2:X$486)=MIN(X$2:X$486), 50, ROUND((MAX(X$2:X$486)-X470)/(MAX(X$2:X$486)-MIN(X$2:X$486))*100, 2)), "")</f>
        <v/>
      </c>
      <c r="AB470">
        <f>IF(AND(ISNUMBER(U470), ISNUMBER(MIN(U$2:U$486)), ISNUMBER(MAX(U$2:U$486))), IF(MAX(U$2:U$486)=MIN(U$2:U$486), 50, ROUND((U470-MIN(U$2:U$486))/(MAX(U$2:U$486)-MIN(U$2:U$486))*100, 2)), "")</f>
        <v/>
      </c>
      <c r="AC470">
        <f>IF(AND(ISNUMBER(Z470), ISNUMBER(AA470), ISNUMBER(AB470)), ROUND((Z470+AA470+AB470)/3, 2), "")</f>
        <v/>
      </c>
    </row>
    <row r="471">
      <c r="A471" t="n">
        <v>165694601</v>
      </c>
      <c r="B471" t="n">
        <v>1700</v>
      </c>
      <c r="C471" t="inlineStr">
        <is>
          <t>£1,700 pcm</t>
        </is>
      </c>
      <c r="D471" t="inlineStr">
        <is>
          <t>monthly</t>
        </is>
      </c>
      <c r="E471" t="inlineStr">
        <is>
          <t>Flat</t>
        </is>
      </c>
      <c r="F471" t="n">
        <v>2</v>
      </c>
      <c r="G471" t="n">
        <v>1</v>
      </c>
      <c r="H471" t="inlineStr">
        <is>
          <t>Isleworth, Middlesex, TW7 4JR</t>
        </is>
      </c>
      <c r="I471" t="inlineStr">
        <is>
          <t xml:space="preserve"> This modern, bright and very spacious 2 double bedroom f lat is offered unfurnished. Comprising of a large lounge, fitted kitchen containing modern appliances</t>
        </is>
      </c>
      <c r="J471" t="inlineStr">
        <is>
          <t>https://www.rightmove.co.uk/properties/165694601#/?channel=RES_LET</t>
        </is>
      </c>
      <c r="K471" t="inlineStr">
        <is>
          <t>/property-to-rent/contactBranch.html?propertyId=165694601</t>
        </is>
      </c>
      <c r="L471" t="inlineStr">
        <is>
          <t>Anderson Knight, Ealing</t>
        </is>
      </c>
      <c r="M471" t="n">
        <v>92323</v>
      </c>
      <c r="N471" t="inlineStr">
        <is>
          <t>Added on 13/08/2025</t>
        </is>
      </c>
      <c r="O471" t="inlineStr">
        <is>
          <t>2025-08-13T11:56:09Z</t>
        </is>
      </c>
      <c r="Q471" t="inlineStr">
        <is>
          <t>TW7</t>
        </is>
      </c>
      <c r="R471" t="inlineStr">
        <is>
          <t>2025-10-16T17:42:40.927879</t>
        </is>
      </c>
      <c r="S471" t="inlineStr">
        <is>
          <t>{'let available date': 'Now', 'deposit': '£1,960', 'min. tenancy': 'Ask agent', 'let type': 'Long term', 'furnish type': 'Unfurnished', 'council tax': 'Ask agent'}</t>
        </is>
      </c>
      <c r="V471" t="b">
        <v>1</v>
      </c>
      <c r="X471" t="n">
        <v>16.88</v>
      </c>
      <c r="Y471" t="n">
        <v>54.3</v>
      </c>
      <c r="Z471">
        <f>IF(AND(ISNUMBER(B471), ISNUMBER(MIN(B$2:B$486)), ISNUMBER(MAX(B$2:B$486))), IF(MAX(B$2:B$486)=MIN(B$2:B$486), 50, ROUND((MAX(B$2:B$486)-B471)/(MAX(B$2:B$486)-MIN(B$2:B$486))*100, 2)), "")</f>
        <v/>
      </c>
      <c r="AA471">
        <f>IF(AND(ISNUMBER(X471), ISNUMBER(MIN(X$2:X$486)), ISNUMBER(MAX(X$2:X$486))), IF(MAX(X$2:X$486)=MIN(X$2:X$486), 50, ROUND((MAX(X$2:X$486)-X471)/(MAX(X$2:X$486)-MIN(X$2:X$486))*100, 2)), "")</f>
        <v/>
      </c>
      <c r="AB471">
        <f>IF(AND(ISNUMBER(U471), ISNUMBER(MIN(U$2:U$486)), ISNUMBER(MAX(U$2:U$486))), IF(MAX(U$2:U$486)=MIN(U$2:U$486), 50, ROUND((U471-MIN(U$2:U$486))/(MAX(U$2:U$486)-MIN(U$2:U$486))*100, 2)), "")</f>
        <v/>
      </c>
      <c r="AC471">
        <f>IF(AND(ISNUMBER(Z471), ISNUMBER(AA471), ISNUMBER(AB471)), ROUND((Z471+AA471+AB471)/3, 2), "")</f>
        <v/>
      </c>
    </row>
    <row r="472">
      <c r="A472" t="n">
        <v>165666164</v>
      </c>
      <c r="B472" t="n">
        <v>1525</v>
      </c>
      <c r="C472" t="inlineStr">
        <is>
          <t>£1,525 pcm</t>
        </is>
      </c>
      <c r="D472" t="inlineStr">
        <is>
          <t>monthly</t>
        </is>
      </c>
      <c r="E472" t="inlineStr">
        <is>
          <t>Flat</t>
        </is>
      </c>
      <c r="F472" t="n">
        <v>2</v>
      </c>
      <c r="G472" t="n">
        <v>1</v>
      </c>
      <c r="H472" t="inlineStr">
        <is>
          <t>Watt House, Abbey Wood</t>
        </is>
      </c>
      <c r="I472" t="inlineStr">
        <is>
          <t>changingproperty.com presents to you: AVAILABLE NOW. A fantastic opportunity to rent this two bedroom flat located 10 minutes bus ride from Abbey Wood station. This property offers excellent living space throughout. Great double reception with an abundance of light with the benefit of a balcony.</t>
        </is>
      </c>
      <c r="J472" t="inlineStr">
        <is>
          <t>https://www.rightmove.co.uk/properties/165666164#/?channel=RES_LET</t>
        </is>
      </c>
      <c r="K472" t="inlineStr">
        <is>
          <t>/property-to-rent/contactBranch.html?propertyId=165666164</t>
        </is>
      </c>
      <c r="L472" t="inlineStr">
        <is>
          <t>changingproperty.com, London</t>
        </is>
      </c>
      <c r="M472" t="n">
        <v>65471</v>
      </c>
      <c r="N472" t="inlineStr">
        <is>
          <t>Added on 12/08/2025</t>
        </is>
      </c>
      <c r="O472" t="inlineStr">
        <is>
          <t>2025-08-12T16:21:10Z</t>
        </is>
      </c>
      <c r="R472" t="inlineStr">
        <is>
          <t>2025-10-16T17:42:40.927882</t>
        </is>
      </c>
      <c r="S472" t="inlineStr">
        <is>
          <t>{'let available date': 'Now', 'deposit': 'Ask agent', 'min. tenancy': 'Ask agent', 'let type': 'Long term', 'furnish type': 'Unfurnished', 'council tax': 'Ask agent'}</t>
        </is>
      </c>
      <c r="V472" t="b">
        <v>1</v>
      </c>
      <c r="X472" t="n">
        <v>24.75</v>
      </c>
      <c r="Y472" t="n">
        <v>60.7</v>
      </c>
      <c r="Z472">
        <f>IF(AND(ISNUMBER(B472), ISNUMBER(MIN(B$2:B$486)), ISNUMBER(MAX(B$2:B$486))), IF(MAX(B$2:B$486)=MIN(B$2:B$486), 50, ROUND((MAX(B$2:B$486)-B472)/(MAX(B$2:B$486)-MIN(B$2:B$486))*100, 2)), "")</f>
        <v/>
      </c>
      <c r="AA472">
        <f>IF(AND(ISNUMBER(X472), ISNUMBER(MIN(X$2:X$486)), ISNUMBER(MAX(X$2:X$486))), IF(MAX(X$2:X$486)=MIN(X$2:X$486), 50, ROUND((MAX(X$2:X$486)-X472)/(MAX(X$2:X$486)-MIN(X$2:X$486))*100, 2)), "")</f>
        <v/>
      </c>
      <c r="AB472">
        <f>IF(AND(ISNUMBER(U472), ISNUMBER(MIN(U$2:U$486)), ISNUMBER(MAX(U$2:U$486))), IF(MAX(U$2:U$486)=MIN(U$2:U$486), 50, ROUND((U472-MIN(U$2:U$486))/(MAX(U$2:U$486)-MIN(U$2:U$486))*100, 2)), "")</f>
        <v/>
      </c>
      <c r="AC472">
        <f>IF(AND(ISNUMBER(Z472), ISNUMBER(AA472), ISNUMBER(AB472)), ROUND((Z472+AA472+AB472)/3, 2), "")</f>
        <v/>
      </c>
    </row>
    <row r="473">
      <c r="A473" t="n">
        <v>165623216</v>
      </c>
      <c r="B473" t="n">
        <v>1675</v>
      </c>
      <c r="C473" t="inlineStr">
        <is>
          <t>£1,675 pcm</t>
        </is>
      </c>
      <c r="D473" t="inlineStr">
        <is>
          <t>monthly</t>
        </is>
      </c>
      <c r="E473" t="inlineStr">
        <is>
          <t>Flat</t>
        </is>
      </c>
      <c r="F473" t="n">
        <v>2</v>
      </c>
      <c r="G473" t="n">
        <v>1</v>
      </c>
      <c r="H473" t="inlineStr">
        <is>
          <t>Weathersfield Court, London, SE9</t>
        </is>
      </c>
      <c r="I473" t="inlineStr">
        <is>
          <t>LOCATION LOCATION LOCATION !!!AVAILABLE TO LET IMMEDIATELY A fully refurbished spacious 2 bedroom, ground floor flat. Located in the heart of Eltham and walking distance to the high street, ma... ** Property Reference: 2585088 **</t>
        </is>
      </c>
      <c r="J473" t="inlineStr">
        <is>
          <t>https://www.rightmove.co.uk/properties/165623216#/?channel=RES_LET</t>
        </is>
      </c>
      <c r="K473" t="inlineStr">
        <is>
          <t>/property-to-rent/contactBranch.html?propertyId=165623216</t>
        </is>
      </c>
      <c r="L473" t="inlineStr">
        <is>
          <t>OpenRent, London</t>
        </is>
      </c>
      <c r="M473" t="n">
        <v>96668</v>
      </c>
      <c r="N473" t="inlineStr">
        <is>
          <t>Added on 11/08/2025</t>
        </is>
      </c>
      <c r="O473" t="inlineStr">
        <is>
          <t>2025-08-11T17:28:47Z</t>
        </is>
      </c>
      <c r="Q473" t="inlineStr">
        <is>
          <t>SE9</t>
        </is>
      </c>
      <c r="R473" t="inlineStr">
        <is>
          <t>2025-10-16T17:42:40.927884</t>
        </is>
      </c>
      <c r="S473" t="inlineStr">
        <is>
          <t>{'let available date': '17/10/2025', 'deposit': '£1,925', 'min. tenancy': 'Ask agent', 'let type': 'Long term', 'furnish type': 'Unfurnished', 'council tax': 'Ask agent'}</t>
        </is>
      </c>
      <c r="V473" t="b">
        <v>1</v>
      </c>
      <c r="X473" t="n">
        <v>22.55</v>
      </c>
      <c r="Y473" t="n">
        <v>51.8</v>
      </c>
      <c r="Z473">
        <f>IF(AND(ISNUMBER(B473), ISNUMBER(MIN(B$2:B$486)), ISNUMBER(MAX(B$2:B$486))), IF(MAX(B$2:B$486)=MIN(B$2:B$486), 50, ROUND((MAX(B$2:B$486)-B473)/(MAX(B$2:B$486)-MIN(B$2:B$486))*100, 2)), "")</f>
        <v/>
      </c>
      <c r="AA473">
        <f>IF(AND(ISNUMBER(X473), ISNUMBER(MIN(X$2:X$486)), ISNUMBER(MAX(X$2:X$486))), IF(MAX(X$2:X$486)=MIN(X$2:X$486), 50, ROUND((MAX(X$2:X$486)-X473)/(MAX(X$2:X$486)-MIN(X$2:X$486))*100, 2)), "")</f>
        <v/>
      </c>
      <c r="AB473">
        <f>IF(AND(ISNUMBER(U473), ISNUMBER(MIN(U$2:U$486)), ISNUMBER(MAX(U$2:U$486))), IF(MAX(U$2:U$486)=MIN(U$2:U$486), 50, ROUND((U473-MIN(U$2:U$486))/(MAX(U$2:U$486)-MIN(U$2:U$486))*100, 2)), "")</f>
        <v/>
      </c>
      <c r="AC473">
        <f>IF(AND(ISNUMBER(Z473), ISNUMBER(AA473), ISNUMBER(AB473)), ROUND((Z473+AA473+AB473)/3, 2), "")</f>
        <v/>
      </c>
    </row>
    <row r="474">
      <c r="A474" t="n">
        <v>167313926</v>
      </c>
      <c r="B474" t="n">
        <v>1600</v>
      </c>
      <c r="C474" t="inlineStr">
        <is>
          <t>£1,600 pcm</t>
        </is>
      </c>
      <c r="D474" t="inlineStr">
        <is>
          <t>monthly</t>
        </is>
      </c>
      <c r="E474" t="inlineStr">
        <is>
          <t>Flat</t>
        </is>
      </c>
      <c r="F474" t="n">
        <v>2</v>
      </c>
      <c r="G474" t="n">
        <v>1</v>
      </c>
      <c r="H474" t="inlineStr">
        <is>
          <t xml:space="preserve">Albert Road </t>
        </is>
      </c>
      <c r="I474" t="inlineStr">
        <is>
          <t>Two-bedroom ground floor flat, refurbished to a high standard and offering direct access to a well-maintained communal garden.</t>
        </is>
      </c>
      <c r="J474" t="inlineStr">
        <is>
          <t>https://www.rightmove.co.uk/properties/167313926#/?channel=RES_LET</t>
        </is>
      </c>
      <c r="K474" t="inlineStr">
        <is>
          <t>/property-to-rent/contactBranch.html?propertyId=167313926</t>
        </is>
      </c>
      <c r="L474" t="inlineStr">
        <is>
          <t>Jukes &amp; Co Estate Agents, South Norwood</t>
        </is>
      </c>
      <c r="M474" t="n">
        <v>285254</v>
      </c>
      <c r="N474" t="inlineStr">
        <is>
          <t>Added on 11/08/2025</t>
        </is>
      </c>
      <c r="O474" t="inlineStr">
        <is>
          <t>2025-09-23T14:20:01Z</t>
        </is>
      </c>
      <c r="R474" t="inlineStr">
        <is>
          <t>2025-10-16T17:42:40.927887</t>
        </is>
      </c>
      <c r="S474" t="inlineStr">
        <is>
          <t>{'let available date': 'Ask agent', 'deposit': 'Ask agent', 'min. tenancy': 'Ask agent', 'let type': 'Long term', 'furnish type': 'Unfurnished', 'council tax': 'Ask agent'}</t>
        </is>
      </c>
      <c r="V474" t="b">
        <v>1</v>
      </c>
      <c r="X474" t="n">
        <v>135.96</v>
      </c>
      <c r="Y474" t="n">
        <v>123.8</v>
      </c>
      <c r="Z474">
        <f>IF(AND(ISNUMBER(B474), ISNUMBER(MIN(B$2:B$486)), ISNUMBER(MAX(B$2:B$486))), IF(MAX(B$2:B$486)=MIN(B$2:B$486), 50, ROUND((MAX(B$2:B$486)-B474)/(MAX(B$2:B$486)-MIN(B$2:B$486))*100, 2)), "")</f>
        <v/>
      </c>
      <c r="AA474">
        <f>IF(AND(ISNUMBER(X474), ISNUMBER(MIN(X$2:X$486)), ISNUMBER(MAX(X$2:X$486))), IF(MAX(X$2:X$486)=MIN(X$2:X$486), 50, ROUND((MAX(X$2:X$486)-X474)/(MAX(X$2:X$486)-MIN(X$2:X$486))*100, 2)), "")</f>
        <v/>
      </c>
      <c r="AB474">
        <f>IF(AND(ISNUMBER(U474), ISNUMBER(MIN(U$2:U$486)), ISNUMBER(MAX(U$2:U$486))), IF(MAX(U$2:U$486)=MIN(U$2:U$486), 50, ROUND((U474-MIN(U$2:U$486))/(MAX(U$2:U$486)-MIN(U$2:U$486))*100, 2)), "")</f>
        <v/>
      </c>
      <c r="AC474">
        <f>IF(AND(ISNUMBER(Z474), ISNUMBER(AA474), ISNUMBER(AB474)), ROUND((Z474+AA474+AB474)/3, 2), "")</f>
        <v/>
      </c>
    </row>
    <row r="475">
      <c r="A475" t="n">
        <v>165488306</v>
      </c>
      <c r="B475" t="n">
        <v>1500</v>
      </c>
      <c r="C475" t="inlineStr">
        <is>
          <t>£1,500 pcm</t>
        </is>
      </c>
      <c r="D475" t="inlineStr">
        <is>
          <t>monthly</t>
        </is>
      </c>
      <c r="E475" t="inlineStr">
        <is>
          <t>Semi-Detached</t>
        </is>
      </c>
      <c r="F475" t="n">
        <v>2</v>
      </c>
      <c r="G475" t="n">
        <v>1</v>
      </c>
      <c r="H475" t="inlineStr">
        <is>
          <t>Carshalton Park Road, Carshalton, Greater London, SM5</t>
        </is>
      </c>
      <c r="I475" t="inlineStr">
        <is>
          <t>Spacious 2-Bed First Floor Flat - Excellent Location - Available ImmediatelyA bright and spacious two-bedroom first-floor flat, ideally located in the heart of Carshalton Beeches, just moments from local amenities, transport links, and schools. Perfect for professionals, couples, or small families</t>
        </is>
      </c>
      <c r="J475" t="inlineStr">
        <is>
          <t>https://www.rightmove.co.uk/properties/165488306#/?channel=RES_LET</t>
        </is>
      </c>
      <c r="K475" t="inlineStr">
        <is>
          <t>/property-to-rent/contactBranch.html?propertyId=165488306</t>
        </is>
      </c>
      <c r="L475" t="inlineStr">
        <is>
          <t>ROCKWELL GREEN PROPERTIES LIMITED, London</t>
        </is>
      </c>
      <c r="M475" t="n">
        <v>288347</v>
      </c>
      <c r="N475" t="inlineStr">
        <is>
          <t>Added on 07/08/2025</t>
        </is>
      </c>
      <c r="O475" t="inlineStr">
        <is>
          <t>2025-08-07T17:48:25Z</t>
        </is>
      </c>
      <c r="Q475" t="inlineStr">
        <is>
          <t>SM5</t>
        </is>
      </c>
      <c r="R475" t="inlineStr">
        <is>
          <t>2025-10-16T17:42:40.927890</t>
        </is>
      </c>
      <c r="S475" t="inlineStr">
        <is>
          <t>{'let available date': 'Ask agent', 'deposit': 'Ask agent', 'min. tenancy': '6 months', 'let type': 'Long term', 'furnish type': 'Unfurnished', 'council tax': 'Ask agent'}</t>
        </is>
      </c>
      <c r="T475" t="n">
        <v>400</v>
      </c>
      <c r="U475" t="n">
        <v>37</v>
      </c>
      <c r="V475" t="b">
        <v>1</v>
      </c>
      <c r="X475" t="n">
        <v>21.04</v>
      </c>
      <c r="Y475" t="n">
        <v>65.59999999999999</v>
      </c>
      <c r="Z475">
        <f>IF(AND(ISNUMBER(B475), ISNUMBER(MIN(B$2:B$486)), ISNUMBER(MAX(B$2:B$486))), IF(MAX(B$2:B$486)=MIN(B$2:B$486), 50, ROUND((MAX(B$2:B$486)-B475)/(MAX(B$2:B$486)-MIN(B$2:B$486))*100, 2)), "")</f>
        <v/>
      </c>
      <c r="AA475">
        <f>IF(AND(ISNUMBER(X475), ISNUMBER(MIN(X$2:X$486)), ISNUMBER(MAX(X$2:X$486))), IF(MAX(X$2:X$486)=MIN(X$2:X$486), 50, ROUND((MAX(X$2:X$486)-X475)/(MAX(X$2:X$486)-MIN(X$2:X$486))*100, 2)), "")</f>
        <v/>
      </c>
      <c r="AB475">
        <f>IF(AND(ISNUMBER(U475), ISNUMBER(MIN(U$2:U$486)), ISNUMBER(MAX(U$2:U$486))), IF(MAX(U$2:U$486)=MIN(U$2:U$486), 50, ROUND((U475-MIN(U$2:U$486))/(MAX(U$2:U$486)-MIN(U$2:U$486))*100, 2)), "")</f>
        <v/>
      </c>
      <c r="AC475">
        <f>IF(AND(ISNUMBER(Z475), ISNUMBER(AA475), ISNUMBER(AB475)), ROUND((Z475+AA475+AB475)/3, 2), "")</f>
        <v/>
      </c>
    </row>
    <row r="476">
      <c r="A476" t="n">
        <v>87250356</v>
      </c>
      <c r="B476" t="n">
        <v>1700</v>
      </c>
      <c r="C476" t="inlineStr">
        <is>
          <t>£1,700 pcm</t>
        </is>
      </c>
      <c r="D476" t="inlineStr">
        <is>
          <t>monthly</t>
        </is>
      </c>
      <c r="E476" t="inlineStr">
        <is>
          <t>Flat</t>
        </is>
      </c>
      <c r="F476" t="n">
        <v>2</v>
      </c>
      <c r="G476" t="n">
        <v>1</v>
      </c>
      <c r="H476" t="inlineStr">
        <is>
          <t>63 Church Street, Enfield, Greater London, EN2</t>
        </is>
      </c>
      <c r="I476" t="inlineStr">
        <is>
          <t>To Let – 2Bedroom Flat, Church Street, Enfield EN1 Furnished | Available Immediately</t>
        </is>
      </c>
      <c r="J476" t="inlineStr">
        <is>
          <t>https://www.rightmove.co.uk/properties/87250356#/?channel=RES_LET</t>
        </is>
      </c>
      <c r="K476" t="inlineStr">
        <is>
          <t>/property-to-rent/contactBranch.html?propertyId=87250356</t>
        </is>
      </c>
      <c r="L476" t="inlineStr">
        <is>
          <t>Chris Anthony Estates, London</t>
        </is>
      </c>
      <c r="M476" t="n">
        <v>122383</v>
      </c>
      <c r="N476" t="inlineStr">
        <is>
          <t>Added on 05/08/2025</t>
        </is>
      </c>
      <c r="O476" t="inlineStr">
        <is>
          <t>2025-08-05T17:34:52Z</t>
        </is>
      </c>
      <c r="Q476" t="inlineStr">
        <is>
          <t>EN2</t>
        </is>
      </c>
      <c r="R476" t="inlineStr">
        <is>
          <t>2025-10-16T17:42:40.927893</t>
        </is>
      </c>
      <c r="S476" t="inlineStr">
        <is>
          <t>{'let available date': 'Now', 'deposit': '£1,700', 'min. tenancy': 'Ask agent', 'let type': 'Long term', 'furnish type': 'Ask agent', 'council tax': 'Ask agent'}</t>
        </is>
      </c>
      <c r="V476" t="b">
        <v>1</v>
      </c>
      <c r="X476" t="n">
        <v>23.71</v>
      </c>
      <c r="Y476" t="n">
        <v>62.1</v>
      </c>
      <c r="Z476">
        <f>IF(AND(ISNUMBER(B476), ISNUMBER(MIN(B$2:B$486)), ISNUMBER(MAX(B$2:B$486))), IF(MAX(B$2:B$486)=MIN(B$2:B$486), 50, ROUND((MAX(B$2:B$486)-B476)/(MAX(B$2:B$486)-MIN(B$2:B$486))*100, 2)), "")</f>
        <v/>
      </c>
      <c r="AA476">
        <f>IF(AND(ISNUMBER(X476), ISNUMBER(MIN(X$2:X$486)), ISNUMBER(MAX(X$2:X$486))), IF(MAX(X$2:X$486)=MIN(X$2:X$486), 50, ROUND((MAX(X$2:X$486)-X476)/(MAX(X$2:X$486)-MIN(X$2:X$486))*100, 2)), "")</f>
        <v/>
      </c>
      <c r="AB476">
        <f>IF(AND(ISNUMBER(U476), ISNUMBER(MIN(U$2:U$486)), ISNUMBER(MAX(U$2:U$486))), IF(MAX(U$2:U$486)=MIN(U$2:U$486), 50, ROUND((U476-MIN(U$2:U$486))/(MAX(U$2:U$486)-MIN(U$2:U$486))*100, 2)), "")</f>
        <v/>
      </c>
      <c r="AC476">
        <f>IF(AND(ISNUMBER(Z476), ISNUMBER(AA476), ISNUMBER(AB476)), ROUND((Z476+AA476+AB476)/3, 2), "")</f>
        <v/>
      </c>
    </row>
    <row r="477">
      <c r="A477" t="n">
        <v>164962907</v>
      </c>
      <c r="B477" t="n">
        <v>1600</v>
      </c>
      <c r="C477" t="inlineStr">
        <is>
          <t>£1,600 pcm</t>
        </is>
      </c>
      <c r="D477" t="inlineStr">
        <is>
          <t>monthly</t>
        </is>
      </c>
      <c r="E477" t="inlineStr">
        <is>
          <t>Apartment</t>
        </is>
      </c>
      <c r="F477" t="n">
        <v>2</v>
      </c>
      <c r="G477" t="n">
        <v>1</v>
      </c>
      <c r="H477" t="inlineStr">
        <is>
          <t>Bagshot Road, Bush Hill Park, EN1</t>
        </is>
      </c>
      <c r="I477" t="inlineStr">
        <is>
          <t>Andrew Stevens are pleased to offer this superb two bedroom first floor apartment located within easy reach of Bush Hill Park BR train station. The property benefits from a modern kitchen, modern bathroom, neutral décor throughout, wood laminate flooring gas central heating and double glazing. Cl...</t>
        </is>
      </c>
      <c r="J477" t="inlineStr">
        <is>
          <t>https://www.rightmove.co.uk/properties/164962907#/?channel=RES_LET</t>
        </is>
      </c>
      <c r="K477" t="inlineStr">
        <is>
          <t>/property-to-rent/contactBranch.html?propertyId=164962907</t>
        </is>
      </c>
      <c r="L477" t="inlineStr">
        <is>
          <t>Andrew Stevens, Enfield</t>
        </is>
      </c>
      <c r="M477" t="n">
        <v>70962</v>
      </c>
      <c r="N477" t="inlineStr">
        <is>
          <t>Added on 25/07/2025</t>
        </is>
      </c>
      <c r="O477" t="inlineStr">
        <is>
          <t>2025-07-25T16:23:36Z</t>
        </is>
      </c>
      <c r="Q477" t="inlineStr">
        <is>
          <t>EN1</t>
        </is>
      </c>
      <c r="R477" t="inlineStr">
        <is>
          <t>2025-10-16T17:42:40.927896</t>
        </is>
      </c>
      <c r="S477" t="inlineStr">
        <is>
          <t>{'let available date': 'Ask agent', 'deposit': '£1,600', 'min. tenancy': 'Ask agent', 'let type': 'Long term', 'furnish type': 'Unfurnished', 'council tax': 'Ask agent'}</t>
        </is>
      </c>
      <c r="T477" t="n">
        <v>53</v>
      </c>
      <c r="U477" t="n">
        <v>5</v>
      </c>
      <c r="V477" t="b">
        <v>1</v>
      </c>
      <c r="X477" t="n">
        <v>20.62</v>
      </c>
      <c r="Y477" t="n">
        <v>62.4</v>
      </c>
      <c r="Z477">
        <f>IF(AND(ISNUMBER(B477), ISNUMBER(MIN(B$2:B$486)), ISNUMBER(MAX(B$2:B$486))), IF(MAX(B$2:B$486)=MIN(B$2:B$486), 50, ROUND((MAX(B$2:B$486)-B477)/(MAX(B$2:B$486)-MIN(B$2:B$486))*100, 2)), "")</f>
        <v/>
      </c>
      <c r="AA477">
        <f>IF(AND(ISNUMBER(X477), ISNUMBER(MIN(X$2:X$486)), ISNUMBER(MAX(X$2:X$486))), IF(MAX(X$2:X$486)=MIN(X$2:X$486), 50, ROUND((MAX(X$2:X$486)-X477)/(MAX(X$2:X$486)-MIN(X$2:X$486))*100, 2)), "")</f>
        <v/>
      </c>
      <c r="AB477">
        <f>IF(AND(ISNUMBER(U477), ISNUMBER(MIN(U$2:U$486)), ISNUMBER(MAX(U$2:U$486))), IF(MAX(U$2:U$486)=MIN(U$2:U$486), 50, ROUND((U477-MIN(U$2:U$486))/(MAX(U$2:U$486)-MIN(U$2:U$486))*100, 2)), "")</f>
        <v/>
      </c>
      <c r="AC477">
        <f>IF(AND(ISNUMBER(Z477), ISNUMBER(AA477), ISNUMBER(AB477)), ROUND((Z477+AA477+AB477)/3, 2), "")</f>
        <v/>
      </c>
    </row>
    <row r="478">
      <c r="A478" t="n">
        <v>164211368</v>
      </c>
      <c r="B478" t="n">
        <v>1650</v>
      </c>
      <c r="C478" t="inlineStr">
        <is>
          <t>£1,650 pcm</t>
        </is>
      </c>
      <c r="D478" t="inlineStr">
        <is>
          <t>monthly</t>
        </is>
      </c>
      <c r="E478" t="inlineStr">
        <is>
          <t>Apartment</t>
        </is>
      </c>
      <c r="F478" t="n">
        <v>2</v>
      </c>
      <c r="G478" t="n">
        <v>2</v>
      </c>
      <c r="H478" t="inlineStr">
        <is>
          <t>Fishguard Way, Galleons Lock, E16</t>
        </is>
      </c>
      <c r="I478" t="inlineStr">
        <is>
          <t>Available to move into end of July is this part furnished first floor two bedroom two bathroom apartment in the popular Galleons Lock Development. The property benefits from allocated underground parking, double glazed windows, on-site shops, close to transport links, 24 hour concierge/security.&amp;...</t>
        </is>
      </c>
      <c r="J478" t="inlineStr">
        <is>
          <t>https://www.rightmove.co.uk/properties/164211368#/?channel=RES_LET</t>
        </is>
      </c>
      <c r="K478" t="inlineStr">
        <is>
          <t>/property-to-rent/contactBranch.html?propertyId=164211368</t>
        </is>
      </c>
      <c r="L478" t="inlineStr">
        <is>
          <t>Spencer James Residential, London</t>
        </is>
      </c>
      <c r="M478" t="n">
        <v>283697</v>
      </c>
      <c r="N478" t="inlineStr">
        <is>
          <t>Added on 05/07/2025</t>
        </is>
      </c>
      <c r="O478" t="inlineStr">
        <is>
          <t>2025-07-05T13:18:17Z</t>
        </is>
      </c>
      <c r="Q478" t="inlineStr">
        <is>
          <t>E16</t>
        </is>
      </c>
      <c r="R478" t="inlineStr">
        <is>
          <t>2025-10-16T17:42:40.927899</t>
        </is>
      </c>
      <c r="S478" t="inlineStr">
        <is>
          <t>{'let available date': 'Now', 'deposit': 'Ask agent', 'min. tenancy': 'Ask agent', 'let type': 'Long term', 'furnish type': 'Part furnished', 'council tax': 'Ask agent'}</t>
        </is>
      </c>
      <c r="V478" t="b">
        <v>1</v>
      </c>
      <c r="X478" t="n">
        <v>13.78</v>
      </c>
      <c r="Y478" t="n">
        <v>40.4</v>
      </c>
      <c r="Z478">
        <f>IF(AND(ISNUMBER(B478), ISNUMBER(MIN(B$2:B$486)), ISNUMBER(MAX(B$2:B$486))), IF(MAX(B$2:B$486)=MIN(B$2:B$486), 50, ROUND((MAX(B$2:B$486)-B478)/(MAX(B$2:B$486)-MIN(B$2:B$486))*100, 2)), "")</f>
        <v/>
      </c>
      <c r="AA478">
        <f>IF(AND(ISNUMBER(X478), ISNUMBER(MIN(X$2:X$486)), ISNUMBER(MAX(X$2:X$486))), IF(MAX(X$2:X$486)=MIN(X$2:X$486), 50, ROUND((MAX(X$2:X$486)-X478)/(MAX(X$2:X$486)-MIN(X$2:X$486))*100, 2)), "")</f>
        <v/>
      </c>
      <c r="AB478">
        <f>IF(AND(ISNUMBER(U478), ISNUMBER(MIN(U$2:U$486)), ISNUMBER(MAX(U$2:U$486))), IF(MAX(U$2:U$486)=MIN(U$2:U$486), 50, ROUND((U478-MIN(U$2:U$486))/(MAX(U$2:U$486)-MIN(U$2:U$486))*100, 2)), "")</f>
        <v/>
      </c>
      <c r="AC478">
        <f>IF(AND(ISNUMBER(Z478), ISNUMBER(AA478), ISNUMBER(AB478)), ROUND((Z478+AA478+AB478)/3, 2), "")</f>
        <v/>
      </c>
    </row>
    <row r="479">
      <c r="A479" t="n">
        <v>162680156</v>
      </c>
      <c r="B479" t="n">
        <v>1575</v>
      </c>
      <c r="C479" t="inlineStr">
        <is>
          <t>£1,575 pcm</t>
        </is>
      </c>
      <c r="D479" t="inlineStr">
        <is>
          <t>monthly</t>
        </is>
      </c>
      <c r="E479" t="inlineStr">
        <is>
          <t>Apartment</t>
        </is>
      </c>
      <c r="F479" t="n">
        <v>2</v>
      </c>
      <c r="G479" t="n">
        <v>1</v>
      </c>
      <c r="H479" t="inlineStr">
        <is>
          <t>Windmill Hill, Enfield, Middlesex, EN2</t>
        </is>
      </c>
      <c r="I479" t="inlineStr">
        <is>
          <t>Tenant/s requirements - minimum household income for this property is £47,250 pa. Victorian two bedroom conversion, large lounge, modern bathroom suite, allocated parking. Within walking distance of Enfield Chase station &amp; all the amenities of Enfield Town, Available early September 2025</t>
        </is>
      </c>
      <c r="J479" t="inlineStr">
        <is>
          <t>https://www.rightmove.co.uk/properties/162680156#/?channel=RES_LET</t>
        </is>
      </c>
      <c r="K479" t="inlineStr">
        <is>
          <t>/property-to-rent/contactBranch.html?propertyId=162680156</t>
        </is>
      </c>
      <c r="L479" t="inlineStr">
        <is>
          <t>Atkinsons Residential, The Letting Line</t>
        </is>
      </c>
      <c r="M479" t="n">
        <v>68966</v>
      </c>
      <c r="N479" t="inlineStr">
        <is>
          <t>Reduced on 03/07/2025</t>
        </is>
      </c>
      <c r="O479" t="inlineStr">
        <is>
          <t>2025-05-31T14:45:21Z</t>
        </is>
      </c>
      <c r="Q479" t="inlineStr">
        <is>
          <t>EN2</t>
        </is>
      </c>
      <c r="R479" t="inlineStr">
        <is>
          <t>2025-10-16T17:42:40.927902</t>
        </is>
      </c>
      <c r="S479" t="inlineStr">
        <is>
          <t>{'let available date': 'Now', 'deposit': '£1,932', 'min. tenancy': 'Ask agent', 'let type': 'Long term', 'furnish type': 'Ask agent', 'council tax': 'Ask agent'}</t>
        </is>
      </c>
      <c r="V479" t="b">
        <v>1</v>
      </c>
      <c r="X479" t="n">
        <v>23.71</v>
      </c>
      <c r="Y479" t="n">
        <v>62.1</v>
      </c>
      <c r="Z479">
        <f>IF(AND(ISNUMBER(B479), ISNUMBER(MIN(B$2:B$486)), ISNUMBER(MAX(B$2:B$486))), IF(MAX(B$2:B$486)=MIN(B$2:B$486), 50, ROUND((MAX(B$2:B$486)-B479)/(MAX(B$2:B$486)-MIN(B$2:B$486))*100, 2)), "")</f>
        <v/>
      </c>
      <c r="AA479">
        <f>IF(AND(ISNUMBER(X479), ISNUMBER(MIN(X$2:X$486)), ISNUMBER(MAX(X$2:X$486))), IF(MAX(X$2:X$486)=MIN(X$2:X$486), 50, ROUND((MAX(X$2:X$486)-X479)/(MAX(X$2:X$486)-MIN(X$2:X$486))*100, 2)), "")</f>
        <v/>
      </c>
      <c r="AB479">
        <f>IF(AND(ISNUMBER(U479), ISNUMBER(MIN(U$2:U$486)), ISNUMBER(MAX(U$2:U$486))), IF(MAX(U$2:U$486)=MIN(U$2:U$486), 50, ROUND((U479-MIN(U$2:U$486))/(MAX(U$2:U$486)-MIN(U$2:U$486))*100, 2)), "")</f>
        <v/>
      </c>
      <c r="AC479">
        <f>IF(AND(ISNUMBER(Z479), ISNUMBER(AA479), ISNUMBER(AB479)), ROUND((Z479+AA479+AB479)/3, 2), "")</f>
        <v/>
      </c>
    </row>
    <row r="480">
      <c r="A480" t="n">
        <v>168130751</v>
      </c>
      <c r="B480" t="n">
        <v>1600</v>
      </c>
      <c r="C480" t="inlineStr">
        <is>
          <t>£1,600 pcm</t>
        </is>
      </c>
      <c r="D480" t="inlineStr">
        <is>
          <t>monthly</t>
        </is>
      </c>
      <c r="E480" t="inlineStr">
        <is>
          <t>Flat</t>
        </is>
      </c>
      <c r="F480" t="n">
        <v>2</v>
      </c>
      <c r="G480" t="n">
        <v>1</v>
      </c>
      <c r="H480" t="inlineStr">
        <is>
          <t>Yellowhammer Court, London, NW9</t>
        </is>
      </c>
      <c r="I480" t="inlineStr">
        <is>
          <t>We are proud to offer this delightful 2 bedroom, 1 bathroom flat in a great location. Available to move in from 08 September 2025, this property benefits from available parking. Property is offer... ** Property Reference: 1061117 **</t>
        </is>
      </c>
      <c r="J480" t="inlineStr">
        <is>
          <t>https://www.rightmove.co.uk/properties/168130751#/?channel=RES_LET</t>
        </is>
      </c>
      <c r="K480" t="inlineStr">
        <is>
          <t>/property-to-rent/contactBranch.html?propertyId=168130751</t>
        </is>
      </c>
      <c r="L480" t="inlineStr">
        <is>
          <t>OpenRent, London</t>
        </is>
      </c>
      <c r="M480" t="n">
        <v>96668</v>
      </c>
      <c r="N480" t="inlineStr">
        <is>
          <t>Added on 30/06/2025</t>
        </is>
      </c>
      <c r="O480" t="inlineStr">
        <is>
          <t>2025-10-12T16:05:17Z</t>
        </is>
      </c>
      <c r="Q480" t="inlineStr">
        <is>
          <t>NW9</t>
        </is>
      </c>
      <c r="R480" t="inlineStr">
        <is>
          <t>2025-10-16T17:42:40.927905</t>
        </is>
      </c>
      <c r="S480" t="inlineStr">
        <is>
          <t>{'let available date': 'Now', 'deposit': '£1,846', 'min. tenancy': 'Ask agent', 'let type': 'Long term', 'furnish type': 'Furnished', 'council tax': 'Ask agent'}</t>
        </is>
      </c>
      <c r="V480" t="b">
        <v>1</v>
      </c>
      <c r="X480" t="n">
        <v>15.5</v>
      </c>
      <c r="Y480" t="n">
        <v>45.8</v>
      </c>
      <c r="Z480">
        <f>IF(AND(ISNUMBER(B480), ISNUMBER(MIN(B$2:B$486)), ISNUMBER(MAX(B$2:B$486))), IF(MAX(B$2:B$486)=MIN(B$2:B$486), 50, ROUND((MAX(B$2:B$486)-B480)/(MAX(B$2:B$486)-MIN(B$2:B$486))*100, 2)), "")</f>
        <v/>
      </c>
      <c r="AA480">
        <f>IF(AND(ISNUMBER(X480), ISNUMBER(MIN(X$2:X$486)), ISNUMBER(MAX(X$2:X$486))), IF(MAX(X$2:X$486)=MIN(X$2:X$486), 50, ROUND((MAX(X$2:X$486)-X480)/(MAX(X$2:X$486)-MIN(X$2:X$486))*100, 2)), "")</f>
        <v/>
      </c>
      <c r="AB480">
        <f>IF(AND(ISNUMBER(U480), ISNUMBER(MIN(U$2:U$486)), ISNUMBER(MAX(U$2:U$486))), IF(MAX(U$2:U$486)=MIN(U$2:U$486), 50, ROUND((U480-MIN(U$2:U$486))/(MAX(U$2:U$486)-MIN(U$2:U$486))*100, 2)), "")</f>
        <v/>
      </c>
      <c r="AC480">
        <f>IF(AND(ISNUMBER(Z480), ISNUMBER(AA480), ISNUMBER(AB480)), ROUND((Z480+AA480+AB480)/3, 2), "")</f>
        <v/>
      </c>
    </row>
    <row r="481">
      <c r="A481" t="n">
        <v>167903915</v>
      </c>
      <c r="B481" t="n">
        <v>1700</v>
      </c>
      <c r="C481" t="inlineStr">
        <is>
          <t>£1,700 pcm</t>
        </is>
      </c>
      <c r="D481" t="inlineStr">
        <is>
          <t>monthly</t>
        </is>
      </c>
      <c r="E481" t="inlineStr">
        <is>
          <t>Flat</t>
        </is>
      </c>
      <c r="F481" t="n">
        <v>2</v>
      </c>
      <c r="G481" t="n">
        <v>1</v>
      </c>
      <c r="H481" t="inlineStr">
        <is>
          <t>Turnpike Lane, Sutton, SM1</t>
        </is>
      </c>
      <c r="I481" t="inlineStr">
        <is>
          <t>** Zero Deposit Guarantee Available **
TWO DOUBLE BEDROOM APARTMENT SITUATED WITHIN A POPULAR DEVELOPMENT IN SUTTON. GARAGE INCLUDED</t>
        </is>
      </c>
      <c r="J481" t="inlineStr">
        <is>
          <t>https://www.rightmove.co.uk/properties/167903915#/?channel=RES_LET</t>
        </is>
      </c>
      <c r="K481" t="inlineStr">
        <is>
          <t>/property-to-rent/contactBranch.html?propertyId=167903915</t>
        </is>
      </c>
      <c r="L481" t="inlineStr">
        <is>
          <t>Gascoigne Pees, Sutton</t>
        </is>
      </c>
      <c r="M481" t="n">
        <v>71093</v>
      </c>
      <c r="N481" t="inlineStr">
        <is>
          <t>Added on 30/05/2025</t>
        </is>
      </c>
      <c r="O481" t="inlineStr">
        <is>
          <t>2025-10-07T12:04:51Z</t>
        </is>
      </c>
      <c r="Q481" t="inlineStr">
        <is>
          <t>SM1</t>
        </is>
      </c>
      <c r="R481" t="inlineStr">
        <is>
          <t>2025-10-16T17:42:40.927908</t>
        </is>
      </c>
      <c r="S481" t="inlineStr">
        <is>
          <t>{'let available date': '30/10/2025', 'deposit': '£1,960', 'min. tenancy': 'Ask agent', 'let type': 'Long term', 'furnish type': 'Furnished', 'council tax': 'Ask agent'}</t>
        </is>
      </c>
      <c r="V481" t="b">
        <v>1</v>
      </c>
      <c r="X481" t="n">
        <v>20.15</v>
      </c>
      <c r="Y481" t="n">
        <v>60.7</v>
      </c>
      <c r="Z481">
        <f>IF(AND(ISNUMBER(B481), ISNUMBER(MIN(B$2:B$486)), ISNUMBER(MAX(B$2:B$486))), IF(MAX(B$2:B$486)=MIN(B$2:B$486), 50, ROUND((MAX(B$2:B$486)-B481)/(MAX(B$2:B$486)-MIN(B$2:B$486))*100, 2)), "")</f>
        <v/>
      </c>
      <c r="AA481">
        <f>IF(AND(ISNUMBER(X481), ISNUMBER(MIN(X$2:X$486)), ISNUMBER(MAX(X$2:X$486))), IF(MAX(X$2:X$486)=MIN(X$2:X$486), 50, ROUND((MAX(X$2:X$486)-X481)/(MAX(X$2:X$486)-MIN(X$2:X$486))*100, 2)), "")</f>
        <v/>
      </c>
      <c r="AB481">
        <f>IF(AND(ISNUMBER(U481), ISNUMBER(MIN(U$2:U$486)), ISNUMBER(MAX(U$2:U$486))), IF(MAX(U$2:U$486)=MIN(U$2:U$486), 50, ROUND((U481-MIN(U$2:U$486))/(MAX(U$2:U$486)-MIN(U$2:U$486))*100, 2)), "")</f>
        <v/>
      </c>
      <c r="AC481">
        <f>IF(AND(ISNUMBER(Z481), ISNUMBER(AA481), ISNUMBER(AB481)), ROUND((Z481+AA481+AB481)/3, 2), "")</f>
        <v/>
      </c>
    </row>
    <row r="482">
      <c r="A482" t="n">
        <v>162049067</v>
      </c>
      <c r="B482" t="n">
        <v>1600</v>
      </c>
      <c r="C482" t="inlineStr">
        <is>
          <t>£1,600 pcm</t>
        </is>
      </c>
      <c r="D482" t="inlineStr">
        <is>
          <t>monthly</t>
        </is>
      </c>
      <c r="E482" t="inlineStr">
        <is>
          <t>Flat</t>
        </is>
      </c>
      <c r="F482" t="n">
        <v>2</v>
      </c>
      <c r="G482" t="n">
        <v>1</v>
      </c>
      <c r="H482" t="inlineStr">
        <is>
          <t>Adams Mews, Wood Green, London</t>
        </is>
      </c>
      <c r="I482" t="inlineStr">
        <is>
          <t>A large bright and spacious two bedroom flat with balcony for rent within walking distance of Wood Green Tube Station and Shopping Centre. The property is located on the third floor and benefits from a good sized open plan kitchen/living room, modern tiled 3 piece bathroom suite, one dou...</t>
        </is>
      </c>
      <c r="J482" t="inlineStr">
        <is>
          <t>https://www.rightmove.co.uk/properties/162049067#/?channel=RES_LET</t>
        </is>
      </c>
      <c r="K482" t="inlineStr">
        <is>
          <t>/property-to-rent/contactBranch.html?propertyId=162049067</t>
        </is>
      </c>
      <c r="L482" t="inlineStr">
        <is>
          <t>Tower Estates, Palmers Green</t>
        </is>
      </c>
      <c r="M482" t="n">
        <v>43011</v>
      </c>
      <c r="N482" t="inlineStr">
        <is>
          <t>Added on 16/05/2025</t>
        </is>
      </c>
      <c r="O482" t="inlineStr">
        <is>
          <t>2025-05-16T14:03:52Z</t>
        </is>
      </c>
      <c r="R482" t="inlineStr">
        <is>
          <t>2025-10-16T17:42:42.188993</t>
        </is>
      </c>
      <c r="S482" t="inlineStr">
        <is>
          <t>{'let available date': 'Now', 'deposit': '£1,846', 'min. tenancy': 'Ask agent', 'let type': 'Long term', 'furnish type': 'Ask agent', 'council tax': 'Ask agent'}</t>
        </is>
      </c>
      <c r="V482" t="b">
        <v>1</v>
      </c>
      <c r="X482" t="n">
        <v>12.79</v>
      </c>
      <c r="Y482" t="n">
        <v>47.6</v>
      </c>
      <c r="Z482">
        <f>IF(AND(ISNUMBER(B482), ISNUMBER(MIN(B$2:B$486)), ISNUMBER(MAX(B$2:B$486))), IF(MAX(B$2:B$486)=MIN(B$2:B$486), 50, ROUND((MAX(B$2:B$486)-B482)/(MAX(B$2:B$486)-MIN(B$2:B$486))*100, 2)), "")</f>
        <v/>
      </c>
      <c r="AA482">
        <f>IF(AND(ISNUMBER(X482), ISNUMBER(MIN(X$2:X$486)), ISNUMBER(MAX(X$2:X$486))), IF(MAX(X$2:X$486)=MIN(X$2:X$486), 50, ROUND((MAX(X$2:X$486)-X482)/(MAX(X$2:X$486)-MIN(X$2:X$486))*100, 2)), "")</f>
        <v/>
      </c>
      <c r="AB482">
        <f>IF(AND(ISNUMBER(U482), ISNUMBER(MIN(U$2:U$486)), ISNUMBER(MAX(U$2:U$486))), IF(MAX(U$2:U$486)=MIN(U$2:U$486), 50, ROUND((U482-MIN(U$2:U$486))/(MAX(U$2:U$486)-MIN(U$2:U$486))*100, 2)), "")</f>
        <v/>
      </c>
      <c r="AC482">
        <f>IF(AND(ISNUMBER(Z482), ISNUMBER(AA482), ISNUMBER(AB482)), ROUND((Z482+AA482+AB482)/3, 2), "")</f>
        <v/>
      </c>
    </row>
    <row r="483">
      <c r="A483" t="n">
        <v>161884955</v>
      </c>
      <c r="B483" t="n">
        <v>392</v>
      </c>
      <c r="C483" t="inlineStr">
        <is>
          <t>£1,699 pcm</t>
        </is>
      </c>
      <c r="D483" t="inlineStr">
        <is>
          <t>weekly</t>
        </is>
      </c>
      <c r="E483" t="inlineStr">
        <is>
          <t>Flat</t>
        </is>
      </c>
      <c r="F483" t="n">
        <v>2</v>
      </c>
      <c r="G483" t="n">
        <v>1</v>
      </c>
      <c r="H483" t="inlineStr">
        <is>
          <t>Clova Road, Forest Gate E7</t>
        </is>
      </c>
      <c r="I483" t="inlineStr">
        <is>
          <t xml:space="preserve">A newly refurbished 2 bedroom property within a period building. The property offers 2 large doubles, a modern tiled newly fitted shower room, large kitchen diner with a white gloss kitchen with integrated appliances and a mix of wood floors and carpets. </t>
        </is>
      </c>
      <c r="J483" t="inlineStr">
        <is>
          <t>https://www.rightmove.co.uk/properties/161884955#/?channel=RES_LET</t>
        </is>
      </c>
      <c r="K483" t="inlineStr">
        <is>
          <t>/property-to-rent/contactBranch.html?propertyId=161884955</t>
        </is>
      </c>
      <c r="L483" t="inlineStr">
        <is>
          <t>Black Katz, Islington</t>
        </is>
      </c>
      <c r="M483" t="n">
        <v>17882</v>
      </c>
      <c r="N483" t="inlineStr">
        <is>
          <t>Added on 13/05/2025</t>
        </is>
      </c>
      <c r="O483" t="inlineStr">
        <is>
          <t>2025-05-13T15:38:08Z</t>
        </is>
      </c>
      <c r="Q483" t="inlineStr">
        <is>
          <t>E7</t>
        </is>
      </c>
      <c r="R483" t="inlineStr">
        <is>
          <t>2025-10-16T17:42:42.188997</t>
        </is>
      </c>
      <c r="S483" t="inlineStr">
        <is>
          <t>{'let available date': 'Now', 'deposit': 'Ask agent', 'min. tenancy': 'Ask agent', 'let type': 'Long term', 'furnish type': 'Ask agent', 'council tax': 'Ask agent'}</t>
        </is>
      </c>
      <c r="V483" t="b">
        <v>1</v>
      </c>
      <c r="X483" t="n">
        <v>13.65</v>
      </c>
      <c r="Y483" t="n">
        <v>53.9</v>
      </c>
      <c r="Z483">
        <f>IF(AND(ISNUMBER(B483), ISNUMBER(MIN(B$2:B$486)), ISNUMBER(MAX(B$2:B$486))), IF(MAX(B$2:B$486)=MIN(B$2:B$486), 50, ROUND((MAX(B$2:B$486)-B483)/(MAX(B$2:B$486)-MIN(B$2:B$486))*100, 2)), "")</f>
        <v/>
      </c>
      <c r="AA483">
        <f>IF(AND(ISNUMBER(X483), ISNUMBER(MIN(X$2:X$486)), ISNUMBER(MAX(X$2:X$486))), IF(MAX(X$2:X$486)=MIN(X$2:X$486), 50, ROUND((MAX(X$2:X$486)-X483)/(MAX(X$2:X$486)-MIN(X$2:X$486))*100, 2)), "")</f>
        <v/>
      </c>
      <c r="AB483">
        <f>IF(AND(ISNUMBER(U483), ISNUMBER(MIN(U$2:U$486)), ISNUMBER(MAX(U$2:U$486))), IF(MAX(U$2:U$486)=MIN(U$2:U$486), 50, ROUND((U483-MIN(U$2:U$486))/(MAX(U$2:U$486)-MIN(U$2:U$486))*100, 2)), "")</f>
        <v/>
      </c>
      <c r="AC483">
        <f>IF(AND(ISNUMBER(Z483), ISNUMBER(AA483), ISNUMBER(AB483)), ROUND((Z483+AA483+AB483)/3, 2), "")</f>
        <v/>
      </c>
    </row>
    <row r="484">
      <c r="A484" t="n">
        <v>160966943</v>
      </c>
      <c r="B484" t="n">
        <v>1500</v>
      </c>
      <c r="C484" t="inlineStr">
        <is>
          <t>£1,500 pcm</t>
        </is>
      </c>
      <c r="D484" t="inlineStr">
        <is>
          <t>monthly</t>
        </is>
      </c>
      <c r="E484" t="inlineStr">
        <is>
          <t>Ground Flat</t>
        </is>
      </c>
      <c r="F484" t="n">
        <v>2</v>
      </c>
      <c r="H484" t="inlineStr">
        <is>
          <t>Streatham Common North, London, SW16</t>
        </is>
      </c>
      <c r="I484" t="inlineStr">
        <is>
          <t xml:space="preserve"> Stunning 2-Bedroom Flat in the Heart of Streatham, SW16! </t>
        </is>
      </c>
      <c r="J484" t="inlineStr">
        <is>
          <t>https://www.rightmove.co.uk/properties/160966943#/?channel=RES_LET</t>
        </is>
      </c>
      <c r="K484" t="inlineStr">
        <is>
          <t>/property-to-rent/contactBranch.html?propertyId=160966943</t>
        </is>
      </c>
      <c r="L484" t="inlineStr">
        <is>
          <t>ROCKWELL GREEN PROPERTIES LIMITED, London</t>
        </is>
      </c>
      <c r="M484" t="n">
        <v>288347</v>
      </c>
      <c r="N484" t="inlineStr">
        <is>
          <t>Added on 22/04/2025</t>
        </is>
      </c>
      <c r="O484" t="inlineStr">
        <is>
          <t>2025-04-22T14:20:48Z</t>
        </is>
      </c>
      <c r="Q484" t="inlineStr">
        <is>
          <t>SW16</t>
        </is>
      </c>
      <c r="R484" t="inlineStr">
        <is>
          <t>2025-10-16T17:42:42.189000</t>
        </is>
      </c>
      <c r="S484" t="inlineStr">
        <is>
          <t>{'let available date': 'Now', 'deposit': '£1,500', 'min. tenancy': '6 months', 'let type': 'Long term', 'furnish type': 'Unfurnished', 'council tax': 'Ask agent'}</t>
        </is>
      </c>
      <c r="T484" t="n">
        <v>500</v>
      </c>
      <c r="U484" t="n">
        <v>46</v>
      </c>
      <c r="V484" t="b">
        <v>1</v>
      </c>
      <c r="X484" t="n">
        <v>12.65</v>
      </c>
      <c r="Y484" t="n">
        <v>45.8</v>
      </c>
      <c r="Z484">
        <f>IF(AND(ISNUMBER(B484), ISNUMBER(MIN(B$2:B$486)), ISNUMBER(MAX(B$2:B$486))), IF(MAX(B$2:B$486)=MIN(B$2:B$486), 50, ROUND((MAX(B$2:B$486)-B484)/(MAX(B$2:B$486)-MIN(B$2:B$486))*100, 2)), "")</f>
        <v/>
      </c>
      <c r="AA484">
        <f>IF(AND(ISNUMBER(X484), ISNUMBER(MIN(X$2:X$486)), ISNUMBER(MAX(X$2:X$486))), IF(MAX(X$2:X$486)=MIN(X$2:X$486), 50, ROUND((MAX(X$2:X$486)-X484)/(MAX(X$2:X$486)-MIN(X$2:X$486))*100, 2)), "")</f>
        <v/>
      </c>
      <c r="AB484">
        <f>IF(AND(ISNUMBER(U484), ISNUMBER(MIN(U$2:U$486)), ISNUMBER(MAX(U$2:U$486))), IF(MAX(U$2:U$486)=MIN(U$2:U$486), 50, ROUND((U484-MIN(U$2:U$486))/(MAX(U$2:U$486)-MIN(U$2:U$486))*100, 2)), "")</f>
        <v/>
      </c>
      <c r="AC484">
        <f>IF(AND(ISNUMBER(Z484), ISNUMBER(AA484), ISNUMBER(AB484)), ROUND((Z484+AA484+AB484)/3, 2), "")</f>
        <v/>
      </c>
    </row>
    <row r="485">
      <c r="A485" t="n">
        <v>158973179</v>
      </c>
      <c r="B485" t="n">
        <v>380</v>
      </c>
      <c r="C485" t="inlineStr">
        <is>
          <t>£1,647 pcm</t>
        </is>
      </c>
      <c r="D485" t="inlineStr">
        <is>
          <t>weekly</t>
        </is>
      </c>
      <c r="E485" t="inlineStr">
        <is>
          <t>Flat</t>
        </is>
      </c>
      <c r="F485" t="n">
        <v>2</v>
      </c>
      <c r="G485" t="n">
        <v>2</v>
      </c>
      <c r="H485" t="inlineStr">
        <is>
          <t>Twyford Avenue, West Acton, W3 9QE</t>
        </is>
      </c>
      <c r="I485" t="inlineStr">
        <is>
          <t>A spacious 2 double bedroom flat in a 1920`s development (Central Line, Zone 3) ***HEAVY WORKS IN THE BUILDING*** * Large separate reception room * Separate and modern fitted kitchen * Modern partly tiled bathroom * Bright and airy flat * Offered in excellent con...</t>
        </is>
      </c>
      <c r="J485" t="inlineStr">
        <is>
          <t>https://www.rightmove.co.uk/properties/158973179#/?channel=RES_LET</t>
        </is>
      </c>
      <c r="K485" t="inlineStr">
        <is>
          <t>/property-to-rent/contactBranch.html?propertyId=158973179</t>
        </is>
      </c>
      <c r="L485" t="inlineStr">
        <is>
          <t>Churchill &amp; Mathesons Estate Agents, Acton</t>
        </is>
      </c>
      <c r="M485" t="n">
        <v>90035</v>
      </c>
      <c r="N485" t="inlineStr">
        <is>
          <t>Added on 11/02/2025</t>
        </is>
      </c>
      <c r="O485" t="inlineStr">
        <is>
          <t>2025-03-04T14:33:29Z</t>
        </is>
      </c>
      <c r="Q485" t="inlineStr">
        <is>
          <t>W3</t>
        </is>
      </c>
      <c r="R485" t="inlineStr">
        <is>
          <t>2025-10-16T17:42:42.189003</t>
        </is>
      </c>
      <c r="S485" t="inlineStr">
        <is>
          <t>{'let available date': 'Ask agent', 'deposit': 'Ask agent', 'min. tenancy': 'Ask agent', 'let type': 'Long term', 'furnish type': 'Furnished', 'council tax': 'Ask agent'}</t>
        </is>
      </c>
      <c r="V485" t="b">
        <v>1</v>
      </c>
      <c r="X485" t="n">
        <v>12.94</v>
      </c>
      <c r="Y485" t="n">
        <v>39.3</v>
      </c>
      <c r="Z485">
        <f>IF(AND(ISNUMBER(B485), ISNUMBER(MIN(B$2:B$486)), ISNUMBER(MAX(B$2:B$486))), IF(MAX(B$2:B$486)=MIN(B$2:B$486), 50, ROUND((MAX(B$2:B$486)-B485)/(MAX(B$2:B$486)-MIN(B$2:B$486))*100, 2)), "")</f>
        <v/>
      </c>
      <c r="AA485">
        <f>IF(AND(ISNUMBER(X485), ISNUMBER(MIN(X$2:X$486)), ISNUMBER(MAX(X$2:X$486))), IF(MAX(X$2:X$486)=MIN(X$2:X$486), 50, ROUND((MAX(X$2:X$486)-X485)/(MAX(X$2:X$486)-MIN(X$2:X$486))*100, 2)), "")</f>
        <v/>
      </c>
      <c r="AB485">
        <f>IF(AND(ISNUMBER(U485), ISNUMBER(MIN(U$2:U$486)), ISNUMBER(MAX(U$2:U$486))), IF(MAX(U$2:U$486)=MIN(U$2:U$486), 50, ROUND((U485-MIN(U$2:U$486))/(MAX(U$2:U$486)-MIN(U$2:U$486))*100, 2)), "")</f>
        <v/>
      </c>
      <c r="AC485">
        <f>IF(AND(ISNUMBER(Z485), ISNUMBER(AA485), ISNUMBER(AB485)), ROUND((Z485+AA485+AB485)/3, 2), "")</f>
        <v/>
      </c>
    </row>
    <row r="486">
      <c r="A486" t="n">
        <v>156628178</v>
      </c>
      <c r="B486" t="n">
        <v>1750</v>
      </c>
      <c r="C486" t="inlineStr">
        <is>
          <t>£1,750 pcm</t>
        </is>
      </c>
      <c r="D486" t="inlineStr">
        <is>
          <t>monthly</t>
        </is>
      </c>
      <c r="E486" t="inlineStr">
        <is>
          <t>Flat</t>
        </is>
      </c>
      <c r="F486" t="n">
        <v>2</v>
      </c>
      <c r="G486" t="n">
        <v>1</v>
      </c>
      <c r="H486" t="inlineStr">
        <is>
          <t>Eldon Park, London, SE25</t>
        </is>
      </c>
      <c r="I486" t="inlineStr">
        <is>
          <t>A spacious and modern two-bedroom maisonette offering bright interiors and a well-designed layout. With a total area of 58.7 m² (632 ft²), this home features a large kitchen/diner, two double bedrooms, and a stylish bathroom, perfect for comfortable living.</t>
        </is>
      </c>
      <c r="J486" t="inlineStr">
        <is>
          <t>https://www.rightmove.co.uk/properties/156628178#/?channel=RES_LET</t>
        </is>
      </c>
      <c r="K486" t="inlineStr">
        <is>
          <t>/property-to-rent/contactBranch.html?propertyId=156628178</t>
        </is>
      </c>
      <c r="L486" t="inlineStr">
        <is>
          <t>eXp UK, London</t>
        </is>
      </c>
      <c r="M486" t="n">
        <v>238265</v>
      </c>
      <c r="N486" t="inlineStr">
        <is>
          <t>Added on 08/01/2025</t>
        </is>
      </c>
      <c r="O486" t="inlineStr">
        <is>
          <t>2025-01-08T13:18:52Z</t>
        </is>
      </c>
      <c r="Q486" t="inlineStr">
        <is>
          <t>SE25</t>
        </is>
      </c>
      <c r="R486" t="inlineStr">
        <is>
          <t>2025-10-16T17:42:42.189006</t>
        </is>
      </c>
      <c r="S486" t="inlineStr">
        <is>
          <t>{'let available date': 'Ask agent', 'deposit': '£1,750', 'min. tenancy': 'Ask agent', 'let type': 'Long term', 'furnish type': 'Furnished or unfurnished, landlord is flexible', 'council tax': 'Ask agent'}</t>
        </is>
      </c>
      <c r="T486" t="n">
        <v>632</v>
      </c>
      <c r="U486" t="n">
        <v>59</v>
      </c>
      <c r="V486" t="b">
        <v>1</v>
      </c>
      <c r="X486" t="n">
        <v>16.69</v>
      </c>
      <c r="Y486" t="n">
        <v>52.9</v>
      </c>
      <c r="Z486">
        <f>IF(AND(ISNUMBER(B486), ISNUMBER(MIN(B$2:B$486)), ISNUMBER(MAX(B$2:B$486))), IF(MAX(B$2:B$486)=MIN(B$2:B$486), 50, ROUND((MAX(B$2:B$486)-B486)/(MAX(B$2:B$486)-MIN(B$2:B$486))*100, 2)), "")</f>
        <v/>
      </c>
      <c r="AA486">
        <f>IF(AND(ISNUMBER(X486), ISNUMBER(MIN(X$2:X$486)), ISNUMBER(MAX(X$2:X$486))), IF(MAX(X$2:X$486)=MIN(X$2:X$486), 50, ROUND((MAX(X$2:X$486)-X486)/(MAX(X$2:X$486)-MIN(X$2:X$486))*100, 2)), "")</f>
        <v/>
      </c>
      <c r="AB486">
        <f>IF(AND(ISNUMBER(U486), ISNUMBER(MIN(U$2:U$486)), ISNUMBER(MAX(U$2:U$486))), IF(MAX(U$2:U$486)=MIN(U$2:U$486), 50, ROUND((U486-MIN(U$2:U$486))/(MAX(U$2:U$486)-MIN(U$2:U$486))*100, 2)), "")</f>
        <v/>
      </c>
      <c r="AC486">
        <f>IF(AND(ISNUMBER(Z486), ISNUMBER(AA486), ISNUMBER(AB486)), ROUND((Z486+AA486+AB486)/3, 2), "")</f>
        <v/>
      </c>
    </row>
  </sheetData>
  <conditionalFormatting sqref="AC2:AC486">
    <cfRule type="colorScale" priority="1">
      <colorScale>
        <cfvo type="min"/>
        <cfvo type="percentile" val="50"/>
        <cfvo type="max"/>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2025-10-16T19:13:52Z</dcterms:created>
  <dcterms:modified xmlns:dcterms="http://purl.org/dc/terms/" xmlns:xsi="http://www.w3.org/2001/XMLSchema-instance" xsi:type="dcterms:W3CDTF">2025-10-16T19:13:52Z</dcterms:modified>
</cp:coreProperties>
</file>